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gi\OneDrive\Documents\GitHub\rio-tinto\notebooks\"/>
    </mc:Choice>
  </mc:AlternateContent>
  <xr:revisionPtr revIDLastSave="0" documentId="13_ncr:1_{32D7A303-4E42-44DA-8621-070EEF3FF2CB}" xr6:coauthVersionLast="47" xr6:coauthVersionMax="47" xr10:uidLastSave="{00000000-0000-0000-0000-000000000000}"/>
  <bookViews>
    <workbookView xWindow="28680" yWindow="-120" windowWidth="29040" windowHeight="15720" activeTab="2" xr2:uid="{B0590D98-E5D6-4A40-8CAB-F861BA2660EA}"/>
  </bookViews>
  <sheets>
    <sheet name="Raw Data" sheetId="1" r:id="rId1"/>
    <sheet name="Monthly_Prices_RAW" sheetId="2" r:id="rId2"/>
    <sheet name="Monthly_Retur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2" i="3"/>
  <c r="C2" i="3"/>
  <c r="D2" i="3"/>
  <c r="E2" i="3"/>
  <c r="F2" i="3"/>
  <c r="G2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C77" i="3"/>
  <c r="D77" i="3"/>
  <c r="E77" i="3"/>
  <c r="F77" i="3"/>
  <c r="G77" i="3"/>
  <c r="C78" i="3"/>
  <c r="D78" i="3"/>
  <c r="E78" i="3"/>
  <c r="F78" i="3"/>
  <c r="G78" i="3"/>
  <c r="C79" i="3"/>
  <c r="D79" i="3"/>
  <c r="E79" i="3"/>
  <c r="F79" i="3"/>
  <c r="G79" i="3"/>
  <c r="C80" i="3"/>
  <c r="D80" i="3"/>
  <c r="E80" i="3"/>
  <c r="F80" i="3"/>
  <c r="G80" i="3"/>
  <c r="C81" i="3"/>
  <c r="D81" i="3"/>
  <c r="E81" i="3"/>
  <c r="F81" i="3"/>
  <c r="G81" i="3"/>
  <c r="C82" i="3"/>
  <c r="D82" i="3"/>
  <c r="E82" i="3"/>
  <c r="F82" i="3"/>
  <c r="G82" i="3"/>
  <c r="C83" i="3"/>
  <c r="D83" i="3"/>
  <c r="E83" i="3"/>
  <c r="F83" i="3"/>
  <c r="G83" i="3"/>
  <c r="C84" i="3"/>
  <c r="D84" i="3"/>
  <c r="E84" i="3"/>
  <c r="F84" i="3"/>
  <c r="G84" i="3"/>
  <c r="C85" i="3"/>
  <c r="D85" i="3"/>
  <c r="E85" i="3"/>
  <c r="F85" i="3"/>
  <c r="G85" i="3"/>
  <c r="C86" i="3"/>
  <c r="D86" i="3"/>
  <c r="E86" i="3"/>
  <c r="F86" i="3"/>
  <c r="G86" i="3"/>
  <c r="C87" i="3"/>
  <c r="D87" i="3"/>
  <c r="E87" i="3"/>
  <c r="F87" i="3"/>
  <c r="G87" i="3"/>
  <c r="C88" i="3"/>
  <c r="D88" i="3"/>
  <c r="E88" i="3"/>
  <c r="F88" i="3"/>
  <c r="G88" i="3"/>
  <c r="C89" i="3"/>
  <c r="D89" i="3"/>
  <c r="E89" i="3"/>
  <c r="F89" i="3"/>
  <c r="G89" i="3"/>
  <c r="C90" i="3"/>
  <c r="D90" i="3"/>
  <c r="E90" i="3"/>
  <c r="F90" i="3"/>
  <c r="G90" i="3"/>
  <c r="C91" i="3"/>
  <c r="D91" i="3"/>
  <c r="E91" i="3"/>
  <c r="F91" i="3"/>
  <c r="G91" i="3"/>
  <c r="C92" i="3"/>
  <c r="D92" i="3"/>
  <c r="E92" i="3"/>
  <c r="F92" i="3"/>
  <c r="G92" i="3"/>
  <c r="C93" i="3"/>
  <c r="D93" i="3"/>
  <c r="E93" i="3"/>
  <c r="F93" i="3"/>
  <c r="G93" i="3"/>
  <c r="C94" i="3"/>
  <c r="D94" i="3"/>
  <c r="E94" i="3"/>
  <c r="F94" i="3"/>
  <c r="G94" i="3"/>
  <c r="C95" i="3"/>
  <c r="D95" i="3"/>
  <c r="E95" i="3"/>
  <c r="F95" i="3"/>
  <c r="G95" i="3"/>
  <c r="C96" i="3"/>
  <c r="D96" i="3"/>
  <c r="E96" i="3"/>
  <c r="F96" i="3"/>
  <c r="G96" i="3"/>
  <c r="C97" i="3"/>
  <c r="D97" i="3"/>
  <c r="E97" i="3"/>
  <c r="F97" i="3"/>
  <c r="G97" i="3"/>
  <c r="C98" i="3"/>
  <c r="D98" i="3"/>
  <c r="E98" i="3"/>
  <c r="F98" i="3"/>
  <c r="G98" i="3"/>
  <c r="C99" i="3"/>
  <c r="D99" i="3"/>
  <c r="E99" i="3"/>
  <c r="F99" i="3"/>
  <c r="G99" i="3"/>
  <c r="C100" i="3"/>
  <c r="D100" i="3"/>
  <c r="E100" i="3"/>
  <c r="F100" i="3"/>
  <c r="G100" i="3"/>
  <c r="C101" i="3"/>
  <c r="D101" i="3"/>
  <c r="E101" i="3"/>
  <c r="F101" i="3"/>
  <c r="G101" i="3"/>
  <c r="C102" i="3"/>
  <c r="D102" i="3"/>
  <c r="E102" i="3"/>
  <c r="F102" i="3"/>
  <c r="G102" i="3"/>
  <c r="C103" i="3"/>
  <c r="D103" i="3"/>
  <c r="E103" i="3"/>
  <c r="F103" i="3"/>
  <c r="G103" i="3"/>
  <c r="C104" i="3"/>
  <c r="D104" i="3"/>
  <c r="E104" i="3"/>
  <c r="F104" i="3"/>
  <c r="G10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C112" i="3"/>
  <c r="D112" i="3"/>
  <c r="E112" i="3"/>
  <c r="F112" i="3"/>
  <c r="G112" i="3"/>
  <c r="C113" i="3"/>
  <c r="D113" i="3"/>
  <c r="E113" i="3"/>
  <c r="F113" i="3"/>
  <c r="G113" i="3"/>
  <c r="C114" i="3"/>
  <c r="D114" i="3"/>
  <c r="E114" i="3"/>
  <c r="F114" i="3"/>
  <c r="G114" i="3"/>
  <c r="C115" i="3"/>
  <c r="D115" i="3"/>
  <c r="E115" i="3"/>
  <c r="F115" i="3"/>
  <c r="G115" i="3"/>
  <c r="C116" i="3"/>
  <c r="D116" i="3"/>
  <c r="E116" i="3"/>
  <c r="F116" i="3"/>
  <c r="G116" i="3"/>
  <c r="C117" i="3"/>
  <c r="D117" i="3"/>
  <c r="E117" i="3"/>
  <c r="F117" i="3"/>
  <c r="G117" i="3"/>
  <c r="C118" i="3"/>
  <c r="D118" i="3"/>
  <c r="E118" i="3"/>
  <c r="F118" i="3"/>
  <c r="G118" i="3"/>
  <c r="C119" i="3"/>
  <c r="D119" i="3"/>
  <c r="E119" i="3"/>
  <c r="F119" i="3"/>
  <c r="G119" i="3"/>
  <c r="C120" i="3"/>
  <c r="D120" i="3"/>
  <c r="E120" i="3"/>
  <c r="F120" i="3"/>
  <c r="G120" i="3"/>
  <c r="C121" i="3"/>
  <c r="D121" i="3"/>
  <c r="E121" i="3"/>
  <c r="F121" i="3"/>
  <c r="G121" i="3"/>
  <c r="C122" i="3"/>
  <c r="D122" i="3"/>
  <c r="E122" i="3"/>
  <c r="F122" i="3"/>
  <c r="G122" i="3"/>
  <c r="C123" i="3"/>
  <c r="D123" i="3"/>
  <c r="E123" i="3"/>
  <c r="F123" i="3"/>
  <c r="G123" i="3"/>
  <c r="C124" i="3"/>
  <c r="D124" i="3"/>
  <c r="E124" i="3"/>
  <c r="F124" i="3"/>
  <c r="G124" i="3"/>
  <c r="C125" i="3"/>
  <c r="D125" i="3"/>
  <c r="E125" i="3"/>
  <c r="F125" i="3"/>
  <c r="G125" i="3"/>
  <c r="C126" i="3"/>
  <c r="D126" i="3"/>
  <c r="E126" i="3"/>
  <c r="F126" i="3"/>
  <c r="G126" i="3"/>
  <c r="C127" i="3"/>
  <c r="D127" i="3"/>
  <c r="E127" i="3"/>
  <c r="F127" i="3"/>
  <c r="G127" i="3"/>
  <c r="C128" i="3"/>
  <c r="D128" i="3"/>
  <c r="E128" i="3"/>
  <c r="F128" i="3"/>
  <c r="G128" i="3"/>
  <c r="C129" i="3"/>
  <c r="D129" i="3"/>
  <c r="E129" i="3"/>
  <c r="F129" i="3"/>
  <c r="G129" i="3"/>
  <c r="C130" i="3"/>
  <c r="D130" i="3"/>
  <c r="E130" i="3"/>
  <c r="F130" i="3"/>
  <c r="G130" i="3"/>
  <c r="C131" i="3"/>
  <c r="D131" i="3"/>
  <c r="E131" i="3"/>
  <c r="F131" i="3"/>
  <c r="G131" i="3"/>
  <c r="C132" i="3"/>
  <c r="D132" i="3"/>
  <c r="E132" i="3"/>
  <c r="F132" i="3"/>
  <c r="G132" i="3"/>
  <c r="C133" i="3"/>
  <c r="D133" i="3"/>
  <c r="E133" i="3"/>
  <c r="F133" i="3"/>
  <c r="G133" i="3"/>
  <c r="C134" i="3"/>
  <c r="D134" i="3"/>
  <c r="E134" i="3"/>
  <c r="F134" i="3"/>
  <c r="G134" i="3"/>
  <c r="C135" i="3"/>
  <c r="D135" i="3"/>
  <c r="E135" i="3"/>
  <c r="F135" i="3"/>
  <c r="G135" i="3"/>
  <c r="C136" i="3"/>
  <c r="D136" i="3"/>
  <c r="E136" i="3"/>
  <c r="F136" i="3"/>
  <c r="G136" i="3"/>
  <c r="C137" i="3"/>
  <c r="D137" i="3"/>
  <c r="E137" i="3"/>
  <c r="F137" i="3"/>
  <c r="G137" i="3"/>
  <c r="C138" i="3"/>
  <c r="D138" i="3"/>
  <c r="E138" i="3"/>
  <c r="F138" i="3"/>
  <c r="G138" i="3"/>
  <c r="C139" i="3"/>
  <c r="D139" i="3"/>
  <c r="E139" i="3"/>
  <c r="F139" i="3"/>
  <c r="G139" i="3"/>
  <c r="C140" i="3"/>
  <c r="D140" i="3"/>
  <c r="E140" i="3"/>
  <c r="F140" i="3"/>
  <c r="G140" i="3"/>
  <c r="C141" i="3"/>
  <c r="D141" i="3"/>
  <c r="E141" i="3"/>
  <c r="F141" i="3"/>
  <c r="G141" i="3"/>
  <c r="C142" i="3"/>
  <c r="D142" i="3"/>
  <c r="E142" i="3"/>
  <c r="F142" i="3"/>
  <c r="G142" i="3"/>
  <c r="C143" i="3"/>
  <c r="D143" i="3"/>
  <c r="E143" i="3"/>
  <c r="F143" i="3"/>
  <c r="G143" i="3"/>
  <c r="C144" i="3"/>
  <c r="D144" i="3"/>
  <c r="E144" i="3"/>
  <c r="F144" i="3"/>
  <c r="G144" i="3"/>
  <c r="C145" i="3"/>
  <c r="D145" i="3"/>
  <c r="E145" i="3"/>
  <c r="F145" i="3"/>
  <c r="G145" i="3"/>
  <c r="C146" i="3"/>
  <c r="D146" i="3"/>
  <c r="E146" i="3"/>
  <c r="F146" i="3"/>
  <c r="G146" i="3"/>
  <c r="C147" i="3"/>
  <c r="D147" i="3"/>
  <c r="E147" i="3"/>
  <c r="F147" i="3"/>
  <c r="G147" i="3"/>
  <c r="C148" i="3"/>
  <c r="D148" i="3"/>
  <c r="E148" i="3"/>
  <c r="F148" i="3"/>
  <c r="G148" i="3"/>
  <c r="C149" i="3"/>
  <c r="D149" i="3"/>
  <c r="E149" i="3"/>
  <c r="F149" i="3"/>
  <c r="G149" i="3"/>
  <c r="C150" i="3"/>
  <c r="D150" i="3"/>
  <c r="E150" i="3"/>
  <c r="F150" i="3"/>
  <c r="G150" i="3"/>
  <c r="C151" i="3"/>
  <c r="D151" i="3"/>
  <c r="E151" i="3"/>
  <c r="F151" i="3"/>
  <c r="G151" i="3"/>
  <c r="C152" i="3"/>
  <c r="D152" i="3"/>
  <c r="E152" i="3"/>
  <c r="F152" i="3"/>
  <c r="G152" i="3"/>
  <c r="C153" i="3"/>
  <c r="D153" i="3"/>
  <c r="E153" i="3"/>
  <c r="F153" i="3"/>
  <c r="G153" i="3"/>
  <c r="C154" i="3"/>
  <c r="D154" i="3"/>
  <c r="E154" i="3"/>
  <c r="F154" i="3"/>
  <c r="G154" i="3"/>
  <c r="C155" i="3"/>
  <c r="D155" i="3"/>
  <c r="E155" i="3"/>
  <c r="F155" i="3"/>
  <c r="G155" i="3"/>
  <c r="C156" i="3"/>
  <c r="D156" i="3"/>
  <c r="E156" i="3"/>
  <c r="F156" i="3"/>
  <c r="G156" i="3"/>
  <c r="C157" i="3"/>
  <c r="D157" i="3"/>
  <c r="E157" i="3"/>
  <c r="F157" i="3"/>
  <c r="G157" i="3"/>
  <c r="C158" i="3"/>
  <c r="D158" i="3"/>
  <c r="E158" i="3"/>
  <c r="F158" i="3"/>
  <c r="G158" i="3"/>
  <c r="C159" i="3"/>
  <c r="D159" i="3"/>
  <c r="E159" i="3"/>
  <c r="F159" i="3"/>
  <c r="G159" i="3"/>
  <c r="C160" i="3"/>
  <c r="D160" i="3"/>
  <c r="E160" i="3"/>
  <c r="F160" i="3"/>
  <c r="G160" i="3"/>
  <c r="C161" i="3"/>
  <c r="D161" i="3"/>
  <c r="E161" i="3"/>
  <c r="F161" i="3"/>
  <c r="G161" i="3"/>
  <c r="C162" i="3"/>
  <c r="D162" i="3"/>
  <c r="E162" i="3"/>
  <c r="F162" i="3"/>
  <c r="G162" i="3"/>
  <c r="C163" i="3"/>
  <c r="D163" i="3"/>
  <c r="E163" i="3"/>
  <c r="F163" i="3"/>
  <c r="G163" i="3"/>
  <c r="C164" i="3"/>
  <c r="D164" i="3"/>
  <c r="E164" i="3"/>
  <c r="F164" i="3"/>
  <c r="G164" i="3"/>
  <c r="C165" i="3"/>
  <c r="D165" i="3"/>
  <c r="E165" i="3"/>
  <c r="F165" i="3"/>
  <c r="G165" i="3"/>
  <c r="C166" i="3"/>
  <c r="D166" i="3"/>
  <c r="E166" i="3"/>
  <c r="F166" i="3"/>
  <c r="G166" i="3"/>
  <c r="C167" i="3"/>
  <c r="D167" i="3"/>
  <c r="E167" i="3"/>
  <c r="F167" i="3"/>
  <c r="G167" i="3"/>
  <c r="C168" i="3"/>
  <c r="D168" i="3"/>
  <c r="E168" i="3"/>
  <c r="F168" i="3"/>
  <c r="G168" i="3"/>
  <c r="C169" i="3"/>
  <c r="D169" i="3"/>
  <c r="E169" i="3"/>
  <c r="F169" i="3"/>
  <c r="G169" i="3"/>
  <c r="C170" i="3"/>
  <c r="D170" i="3"/>
  <c r="E170" i="3"/>
  <c r="F170" i="3"/>
  <c r="G170" i="3"/>
  <c r="C171" i="3"/>
  <c r="D171" i="3"/>
  <c r="E171" i="3"/>
  <c r="F171" i="3"/>
  <c r="G171" i="3"/>
  <c r="C172" i="3"/>
  <c r="D172" i="3"/>
  <c r="E172" i="3"/>
  <c r="F172" i="3"/>
  <c r="G172" i="3"/>
  <c r="C173" i="3"/>
  <c r="D173" i="3"/>
  <c r="E173" i="3"/>
  <c r="F173" i="3"/>
  <c r="G173" i="3"/>
  <c r="C174" i="3"/>
  <c r="D174" i="3"/>
  <c r="E174" i="3"/>
  <c r="F174" i="3"/>
  <c r="G174" i="3"/>
  <c r="C175" i="3"/>
  <c r="D175" i="3"/>
  <c r="E175" i="3"/>
  <c r="F175" i="3"/>
  <c r="G175" i="3"/>
  <c r="C176" i="3"/>
  <c r="D176" i="3"/>
  <c r="E176" i="3"/>
  <c r="F176" i="3"/>
  <c r="G176" i="3"/>
  <c r="C177" i="3"/>
  <c r="D177" i="3"/>
  <c r="E177" i="3"/>
  <c r="F177" i="3"/>
  <c r="G177" i="3"/>
  <c r="C178" i="3"/>
  <c r="D178" i="3"/>
  <c r="E178" i="3"/>
  <c r="F178" i="3"/>
  <c r="G178" i="3"/>
  <c r="C179" i="3"/>
  <c r="D179" i="3"/>
  <c r="E179" i="3"/>
  <c r="F179" i="3"/>
  <c r="G179" i="3"/>
  <c r="C180" i="3"/>
  <c r="D180" i="3"/>
  <c r="E180" i="3"/>
  <c r="F180" i="3"/>
  <c r="G180" i="3"/>
  <c r="C181" i="3"/>
  <c r="D181" i="3"/>
  <c r="E181" i="3"/>
  <c r="F181" i="3"/>
  <c r="G181" i="3"/>
  <c r="C182" i="3"/>
  <c r="D182" i="3"/>
  <c r="E182" i="3"/>
  <c r="F182" i="3"/>
  <c r="G182" i="3"/>
  <c r="C183" i="3"/>
  <c r="D183" i="3"/>
  <c r="E183" i="3"/>
  <c r="F183" i="3"/>
  <c r="G183" i="3"/>
  <c r="C184" i="3"/>
  <c r="D184" i="3"/>
  <c r="E184" i="3"/>
  <c r="F184" i="3"/>
  <c r="G184" i="3"/>
  <c r="C185" i="3"/>
  <c r="D185" i="3"/>
  <c r="E185" i="3"/>
  <c r="F185" i="3"/>
  <c r="G185" i="3"/>
  <c r="C186" i="3"/>
  <c r="D186" i="3"/>
  <c r="E186" i="3"/>
  <c r="F186" i="3"/>
  <c r="G186" i="3"/>
  <c r="C187" i="3"/>
  <c r="D187" i="3"/>
  <c r="E187" i="3"/>
  <c r="F187" i="3"/>
  <c r="G187" i="3"/>
  <c r="C188" i="3"/>
  <c r="D188" i="3"/>
  <c r="E188" i="3"/>
  <c r="F188" i="3"/>
  <c r="G188" i="3"/>
  <c r="C189" i="3"/>
  <c r="D189" i="3"/>
  <c r="E189" i="3"/>
  <c r="F189" i="3"/>
  <c r="G189" i="3"/>
  <c r="C190" i="3"/>
  <c r="D190" i="3"/>
  <c r="E190" i="3"/>
  <c r="F190" i="3"/>
  <c r="G190" i="3"/>
  <c r="C191" i="3"/>
  <c r="D191" i="3"/>
  <c r="E191" i="3"/>
  <c r="F191" i="3"/>
  <c r="G191" i="3"/>
  <c r="C192" i="3"/>
  <c r="D192" i="3"/>
  <c r="E192" i="3"/>
  <c r="F192" i="3"/>
  <c r="G192" i="3"/>
  <c r="C193" i="3"/>
  <c r="D193" i="3"/>
  <c r="E193" i="3"/>
  <c r="F193" i="3"/>
  <c r="G19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2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3" i="2"/>
  <c r="D24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5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3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AG3" i="1"/>
  <c r="AC3" i="1"/>
  <c r="Y3" i="1"/>
  <c r="U3" i="1"/>
  <c r="Q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3" i="1"/>
</calcChain>
</file>

<file path=xl/sharedStrings.xml><?xml version="1.0" encoding="utf-8"?>
<sst xmlns="http://schemas.openxmlformats.org/spreadsheetml/2006/main" count="25" uniqueCount="24">
  <si>
    <t>RIO US EQUITY</t>
  </si>
  <si>
    <t>ISIX62IU Index</t>
  </si>
  <si>
    <t>HG1 Comdty</t>
  </si>
  <si>
    <t>LMAHDS03 Comdty</t>
  </si>
  <si>
    <t>AUDUSD Curncy</t>
  </si>
  <si>
    <t>SPX Index</t>
  </si>
  <si>
    <t>CHMMCRST Index</t>
  </si>
  <si>
    <t>9246R005 Index</t>
  </si>
  <si>
    <t>NAPMPMI Index</t>
  </si>
  <si>
    <t xml:space="preserve">RIO </t>
  </si>
  <si>
    <t>IronOre</t>
  </si>
  <si>
    <t>Copper</t>
  </si>
  <si>
    <t>Aluminum</t>
  </si>
  <si>
    <t>AUDUSD</t>
  </si>
  <si>
    <t xml:space="preserve">SPX </t>
  </si>
  <si>
    <t>Month_end</t>
  </si>
  <si>
    <t>PMI</t>
  </si>
  <si>
    <t>r_RIO</t>
  </si>
  <si>
    <t>r_IronOre</t>
  </si>
  <si>
    <t>r_Copper</t>
  </si>
  <si>
    <t>r_Aluminum</t>
  </si>
  <si>
    <t>r_AUDUSD</t>
  </si>
  <si>
    <t>r_SPX</t>
  </si>
  <si>
    <t>d_PMI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</si>
</sst>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6293-3470-4DBA-842D-BBF96606D008}">
  <dimension ref="A2:AI1258"/>
  <sheetViews>
    <sheetView showGridLines="0" zoomScale="85" zoomScaleNormal="85" workbookViewId="0">
      <selection activeCell="O11" sqref="O11"/>
    </sheetView>
  </sheetViews>
  <sheetFormatPr defaultRowHeight="15" x14ac:dyDescent="0.25"/>
  <cols>
    <col min="1" max="2" width="10.5703125" bestFit="1" customWidth="1"/>
    <col min="3" max="3" width="9.28515625" bestFit="1" customWidth="1"/>
    <col min="4" max="4" width="9.85546875" customWidth="1"/>
    <col min="5" max="6" width="10.5703125" bestFit="1" customWidth="1"/>
    <col min="7" max="7" width="7.140625" bestFit="1" customWidth="1"/>
    <col min="8" max="8" width="7.7109375" customWidth="1"/>
    <col min="9" max="10" width="10.5703125" bestFit="1" customWidth="1"/>
    <col min="11" max="11" width="7.140625" bestFit="1" customWidth="1"/>
    <col min="12" max="12" width="7.7109375" customWidth="1"/>
    <col min="13" max="14" width="10.5703125" bestFit="1" customWidth="1"/>
    <col min="15" max="15" width="8.140625" bestFit="1" customWidth="1"/>
    <col min="16" max="16" width="7.7109375" customWidth="1"/>
    <col min="17" max="18" width="10.5703125" bestFit="1" customWidth="1"/>
    <col min="19" max="19" width="7.140625" bestFit="1" customWidth="1"/>
    <col min="20" max="20" width="7.7109375" customWidth="1"/>
    <col min="21" max="22" width="10.5703125" bestFit="1" customWidth="1"/>
    <col min="23" max="23" width="8.140625" bestFit="1" customWidth="1"/>
    <col min="24" max="24" width="8.7109375" customWidth="1"/>
    <col min="25" max="26" width="10.5703125" bestFit="1" customWidth="1"/>
    <col min="27" max="27" width="6.140625" bestFit="1" customWidth="1"/>
    <col min="28" max="28" width="6.5703125" customWidth="1"/>
    <col min="29" max="30" width="10.5703125" bestFit="1" customWidth="1"/>
    <col min="31" max="31" width="6.140625" bestFit="1" customWidth="1"/>
    <col min="32" max="32" width="6.5703125" customWidth="1"/>
    <col min="33" max="34" width="10.5703125" bestFit="1" customWidth="1"/>
    <col min="35" max="35" width="5.140625" bestFit="1" customWidth="1"/>
  </cols>
  <sheetData>
    <row r="2" spans="1:35" x14ac:dyDescent="0.25">
      <c r="B2" s="5" t="s">
        <v>0</v>
      </c>
      <c r="C2" s="5"/>
      <c r="D2" s="2"/>
      <c r="F2" s="5" t="s">
        <v>1</v>
      </c>
      <c r="G2" s="5"/>
      <c r="H2" s="2"/>
      <c r="J2" s="5" t="s">
        <v>2</v>
      </c>
      <c r="K2" s="5"/>
      <c r="L2" s="2"/>
      <c r="N2" s="5" t="s">
        <v>3</v>
      </c>
      <c r="O2" s="5"/>
      <c r="P2" s="2"/>
      <c r="R2" s="5" t="s">
        <v>4</v>
      </c>
      <c r="S2" s="5"/>
      <c r="T2" s="2"/>
      <c r="V2" s="5" t="s">
        <v>5</v>
      </c>
      <c r="W2" s="5"/>
      <c r="X2" s="2"/>
      <c r="Z2" s="5" t="s">
        <v>6</v>
      </c>
      <c r="AA2" s="5"/>
      <c r="AB2" s="2"/>
      <c r="AD2" s="5" t="s">
        <v>7</v>
      </c>
      <c r="AE2" s="5"/>
      <c r="AF2" s="2"/>
      <c r="AH2" s="5" t="s">
        <v>8</v>
      </c>
      <c r="AI2" s="5"/>
    </row>
    <row r="3" spans="1:35" x14ac:dyDescent="0.25">
      <c r="A3" s="1">
        <f>EOMONTH(B3,0)</f>
        <v>40268</v>
      </c>
      <c r="B3" s="1">
        <v>40268</v>
      </c>
      <c r="C3">
        <v>59.182499999999997</v>
      </c>
      <c r="E3" s="1">
        <f>EOMONTH(F3,0)</f>
        <v>40908</v>
      </c>
      <c r="F3" s="1">
        <v>40908</v>
      </c>
      <c r="G3">
        <v>138.19999999999999</v>
      </c>
      <c r="I3" s="1">
        <f>EOMONTH(J3,0)</f>
        <v>40268</v>
      </c>
      <c r="J3" s="1">
        <v>40268</v>
      </c>
      <c r="K3">
        <v>355.35</v>
      </c>
      <c r="M3" s="1">
        <f>EOMONTH(N3,0)</f>
        <v>40268</v>
      </c>
      <c r="N3" s="1">
        <v>40268</v>
      </c>
      <c r="O3">
        <v>2323</v>
      </c>
      <c r="Q3" s="1">
        <f>EOMONTH(R3,0)</f>
        <v>40268</v>
      </c>
      <c r="R3" s="1">
        <v>40268</v>
      </c>
      <c r="S3">
        <v>0.91720000000000002</v>
      </c>
      <c r="U3" s="1">
        <f>EOMONTH(V3,0)</f>
        <v>40268</v>
      </c>
      <c r="V3" s="1">
        <v>40268</v>
      </c>
      <c r="W3">
        <v>1169.43</v>
      </c>
      <c r="Y3" s="1">
        <f>EOMONTH(Z3,0)</f>
        <v>40268</v>
      </c>
      <c r="Z3" s="1">
        <v>40268</v>
      </c>
      <c r="AA3">
        <v>54.97</v>
      </c>
      <c r="AB3" s="1"/>
      <c r="AC3" s="1">
        <f>EOMONTH(AD3,0)</f>
        <v>40268</v>
      </c>
      <c r="AD3" s="1">
        <v>40268</v>
      </c>
      <c r="AE3">
        <v>95.8</v>
      </c>
      <c r="AG3" s="1">
        <f>EOMONTH(AH3,0)</f>
        <v>40633</v>
      </c>
      <c r="AH3" s="1">
        <v>40633</v>
      </c>
      <c r="AI3">
        <v>58.4</v>
      </c>
    </row>
    <row r="4" spans="1:35" x14ac:dyDescent="0.25">
      <c r="A4" s="1">
        <f t="shared" ref="A4:A67" si="0">EOMONTH(B4,0)</f>
        <v>40298</v>
      </c>
      <c r="B4" s="1">
        <v>40298</v>
      </c>
      <c r="C4">
        <v>50.86</v>
      </c>
      <c r="E4" s="1">
        <f t="shared" ref="E4:E67" si="1">EOMONTH(F4,0)</f>
        <v>40939</v>
      </c>
      <c r="F4" s="1">
        <v>40939</v>
      </c>
      <c r="G4">
        <v>141.80000000000001</v>
      </c>
      <c r="I4" s="1">
        <f t="shared" ref="I4:I67" si="2">EOMONTH(J4,0)</f>
        <v>40298</v>
      </c>
      <c r="J4" s="1">
        <v>40298</v>
      </c>
      <c r="K4">
        <v>333.75</v>
      </c>
      <c r="M4" s="1">
        <f t="shared" ref="M4:M67" si="3">EOMONTH(N4,0)</f>
        <v>40298</v>
      </c>
      <c r="N4" s="1">
        <v>40298</v>
      </c>
      <c r="O4">
        <v>2255</v>
      </c>
      <c r="Q4" s="1">
        <f t="shared" ref="Q4:Q67" si="4">EOMONTH(R4,0)</f>
        <v>40298</v>
      </c>
      <c r="R4" s="1">
        <v>40298</v>
      </c>
      <c r="S4">
        <v>0.92430000000000001</v>
      </c>
      <c r="U4" s="1">
        <f t="shared" ref="U4:U67" si="5">EOMONTH(V4,0)</f>
        <v>40298</v>
      </c>
      <c r="V4" s="1">
        <v>40298</v>
      </c>
      <c r="W4">
        <v>1186.69</v>
      </c>
      <c r="Y4" s="1">
        <f t="shared" ref="Y4:Y67" si="6">EOMONTH(Z4,0)</f>
        <v>40298</v>
      </c>
      <c r="Z4" s="1">
        <v>40298</v>
      </c>
      <c r="AA4">
        <v>55.4</v>
      </c>
      <c r="AC4" s="1">
        <f t="shared" ref="AC4:AC67" si="7">EOMONTH(AD4,0)</f>
        <v>40298</v>
      </c>
      <c r="AD4" s="1">
        <v>40298</v>
      </c>
      <c r="AE4">
        <v>90.8</v>
      </c>
      <c r="AG4" s="1">
        <f t="shared" ref="AG4:AG67" si="8">EOMONTH(AH4,0)</f>
        <v>40663</v>
      </c>
      <c r="AH4" s="1">
        <v>40663</v>
      </c>
      <c r="AI4">
        <v>57.9</v>
      </c>
    </row>
    <row r="5" spans="1:35" x14ac:dyDescent="0.25">
      <c r="A5" s="1">
        <f t="shared" si="0"/>
        <v>40329</v>
      </c>
      <c r="B5" s="1">
        <v>40329</v>
      </c>
      <c r="C5">
        <v>46.1</v>
      </c>
      <c r="E5" s="1">
        <f t="shared" si="1"/>
        <v>40968</v>
      </c>
      <c r="F5" s="1">
        <v>40968</v>
      </c>
      <c r="G5">
        <v>141.4</v>
      </c>
      <c r="I5" s="1">
        <f t="shared" si="2"/>
        <v>40329</v>
      </c>
      <c r="J5" s="1">
        <v>40329</v>
      </c>
      <c r="K5">
        <v>310.45</v>
      </c>
      <c r="M5" s="1">
        <f t="shared" si="3"/>
        <v>40329</v>
      </c>
      <c r="N5" s="1">
        <v>40329</v>
      </c>
      <c r="O5">
        <v>2043</v>
      </c>
      <c r="Q5" s="1">
        <f t="shared" si="4"/>
        <v>40329</v>
      </c>
      <c r="R5" s="1">
        <v>40329</v>
      </c>
      <c r="S5">
        <v>0.84589999999999999</v>
      </c>
      <c r="U5" s="1">
        <f t="shared" si="5"/>
        <v>40329</v>
      </c>
      <c r="V5" s="1">
        <v>40329</v>
      </c>
      <c r="W5">
        <v>1089.4100000000001</v>
      </c>
      <c r="Y5" s="1">
        <f t="shared" si="6"/>
        <v>40329</v>
      </c>
      <c r="Z5" s="1">
        <v>40329</v>
      </c>
      <c r="AA5">
        <v>56.14</v>
      </c>
      <c r="AC5" s="1">
        <f t="shared" si="7"/>
        <v>40329</v>
      </c>
      <c r="AD5" s="1">
        <v>40329</v>
      </c>
      <c r="AE5">
        <v>95.7</v>
      </c>
      <c r="AG5" s="1">
        <f t="shared" si="8"/>
        <v>40694</v>
      </c>
      <c r="AH5" s="1">
        <v>40694</v>
      </c>
      <c r="AI5">
        <v>54.8</v>
      </c>
    </row>
    <row r="6" spans="1:35" x14ac:dyDescent="0.25">
      <c r="A6" s="1">
        <f t="shared" si="0"/>
        <v>40359</v>
      </c>
      <c r="B6" s="1">
        <v>40359</v>
      </c>
      <c r="C6">
        <v>43.6</v>
      </c>
      <c r="E6" s="1">
        <f t="shared" si="1"/>
        <v>40999</v>
      </c>
      <c r="F6" s="1">
        <v>40999</v>
      </c>
      <c r="G6">
        <v>145.1</v>
      </c>
      <c r="I6" s="1">
        <f t="shared" si="2"/>
        <v>40359</v>
      </c>
      <c r="J6" s="1">
        <v>40359</v>
      </c>
      <c r="K6">
        <v>293.60000000000002</v>
      </c>
      <c r="M6" s="1">
        <f t="shared" si="3"/>
        <v>40359</v>
      </c>
      <c r="N6" s="1">
        <v>40359</v>
      </c>
      <c r="O6">
        <v>1977.5</v>
      </c>
      <c r="Q6" s="1">
        <f t="shared" si="4"/>
        <v>40359</v>
      </c>
      <c r="R6" s="1">
        <v>40359</v>
      </c>
      <c r="S6">
        <v>0.84079999999999999</v>
      </c>
      <c r="U6" s="1">
        <f t="shared" si="5"/>
        <v>40359</v>
      </c>
      <c r="V6" s="1">
        <v>40359</v>
      </c>
      <c r="W6">
        <v>1030.71</v>
      </c>
      <c r="Y6" s="1">
        <f t="shared" si="6"/>
        <v>40359</v>
      </c>
      <c r="Z6" s="1">
        <v>40359</v>
      </c>
      <c r="AA6">
        <v>53.77</v>
      </c>
      <c r="AC6" s="1">
        <f t="shared" si="7"/>
        <v>40359</v>
      </c>
      <c r="AD6" s="1">
        <v>40359</v>
      </c>
      <c r="AE6">
        <v>109</v>
      </c>
      <c r="AG6" s="1">
        <f t="shared" si="8"/>
        <v>40724</v>
      </c>
      <c r="AH6" s="1">
        <v>40724</v>
      </c>
      <c r="AI6">
        <v>55.8</v>
      </c>
    </row>
    <row r="7" spans="1:35" x14ac:dyDescent="0.25">
      <c r="A7" s="1">
        <f t="shared" si="0"/>
        <v>40390</v>
      </c>
      <c r="B7" s="1">
        <v>40389</v>
      </c>
      <c r="C7">
        <v>51.92</v>
      </c>
      <c r="E7" s="1">
        <f t="shared" si="1"/>
        <v>41029</v>
      </c>
      <c r="F7" s="1">
        <v>41029</v>
      </c>
      <c r="G7">
        <v>145.1</v>
      </c>
      <c r="I7" s="1">
        <f t="shared" si="2"/>
        <v>40390</v>
      </c>
      <c r="J7" s="1">
        <v>40389</v>
      </c>
      <c r="K7">
        <v>331.15</v>
      </c>
      <c r="M7" s="1">
        <f t="shared" si="3"/>
        <v>40390</v>
      </c>
      <c r="N7" s="1">
        <v>40389</v>
      </c>
      <c r="O7">
        <v>2175</v>
      </c>
      <c r="Q7" s="1">
        <f t="shared" si="4"/>
        <v>40390</v>
      </c>
      <c r="R7" s="1">
        <v>40389</v>
      </c>
      <c r="S7">
        <v>0.9042</v>
      </c>
      <c r="U7" s="1">
        <f t="shared" si="5"/>
        <v>40390</v>
      </c>
      <c r="V7" s="1">
        <v>40389</v>
      </c>
      <c r="W7">
        <v>1101.5999999999999</v>
      </c>
      <c r="Y7" s="1">
        <f t="shared" si="6"/>
        <v>40390</v>
      </c>
      <c r="Z7" s="1">
        <v>40390</v>
      </c>
      <c r="AA7">
        <v>51.74</v>
      </c>
      <c r="AC7" s="1">
        <f t="shared" si="7"/>
        <v>40390</v>
      </c>
      <c r="AD7" s="1">
        <v>40390</v>
      </c>
      <c r="AE7">
        <v>99.9</v>
      </c>
      <c r="AG7" s="1">
        <f t="shared" si="8"/>
        <v>40755</v>
      </c>
      <c r="AH7" s="1">
        <v>40755</v>
      </c>
      <c r="AI7">
        <v>52.9</v>
      </c>
    </row>
    <row r="8" spans="1:35" x14ac:dyDescent="0.25">
      <c r="A8" s="1">
        <f t="shared" si="0"/>
        <v>40421</v>
      </c>
      <c r="B8" s="1">
        <v>40421</v>
      </c>
      <c r="C8">
        <v>50.860599999999998</v>
      </c>
      <c r="E8" s="1">
        <f t="shared" si="1"/>
        <v>41060</v>
      </c>
      <c r="F8" s="1">
        <v>41060</v>
      </c>
      <c r="G8">
        <v>131.80000000000001</v>
      </c>
      <c r="I8" s="1">
        <f t="shared" si="2"/>
        <v>40421</v>
      </c>
      <c r="J8" s="1">
        <v>40421</v>
      </c>
      <c r="K8">
        <v>336.1</v>
      </c>
      <c r="M8" s="1">
        <f t="shared" si="3"/>
        <v>40421</v>
      </c>
      <c r="N8" s="1">
        <v>40421</v>
      </c>
      <c r="O8">
        <v>2058</v>
      </c>
      <c r="Q8" s="1">
        <f t="shared" si="4"/>
        <v>40421</v>
      </c>
      <c r="R8" s="1">
        <v>40421</v>
      </c>
      <c r="S8">
        <v>0.89059999999999995</v>
      </c>
      <c r="U8" s="1">
        <f t="shared" si="5"/>
        <v>40421</v>
      </c>
      <c r="V8" s="1">
        <v>40421</v>
      </c>
      <c r="W8">
        <v>1049.33</v>
      </c>
      <c r="Y8" s="1">
        <f t="shared" si="6"/>
        <v>40421</v>
      </c>
      <c r="Z8" s="1">
        <v>40421</v>
      </c>
      <c r="AA8">
        <v>51.64</v>
      </c>
      <c r="AC8" s="1">
        <f t="shared" si="7"/>
        <v>40421</v>
      </c>
      <c r="AD8" s="1">
        <v>40421</v>
      </c>
      <c r="AE8">
        <v>101.4</v>
      </c>
      <c r="AG8" s="1">
        <f t="shared" si="8"/>
        <v>40786</v>
      </c>
      <c r="AH8" s="1">
        <v>40786</v>
      </c>
      <c r="AI8">
        <v>52.6</v>
      </c>
    </row>
    <row r="9" spans="1:35" x14ac:dyDescent="0.25">
      <c r="A9" s="1">
        <f t="shared" si="0"/>
        <v>40451</v>
      </c>
      <c r="B9" s="1">
        <v>40451</v>
      </c>
      <c r="C9">
        <v>59.231400000000001</v>
      </c>
      <c r="E9" s="1">
        <f t="shared" si="1"/>
        <v>41090</v>
      </c>
      <c r="F9" s="1">
        <v>41090</v>
      </c>
      <c r="G9">
        <v>135.1</v>
      </c>
      <c r="I9" s="1">
        <f t="shared" si="2"/>
        <v>40451</v>
      </c>
      <c r="J9" s="1">
        <v>40451</v>
      </c>
      <c r="K9">
        <v>365.15</v>
      </c>
      <c r="M9" s="1">
        <f t="shared" si="3"/>
        <v>40451</v>
      </c>
      <c r="N9" s="1">
        <v>40451</v>
      </c>
      <c r="O9">
        <v>2351</v>
      </c>
      <c r="Q9" s="1">
        <f t="shared" si="4"/>
        <v>40451</v>
      </c>
      <c r="R9" s="1">
        <v>40451</v>
      </c>
      <c r="S9">
        <v>0.96709999999999996</v>
      </c>
      <c r="U9" s="1">
        <f t="shared" si="5"/>
        <v>40451</v>
      </c>
      <c r="V9" s="1">
        <v>40451</v>
      </c>
      <c r="W9">
        <v>1141.2</v>
      </c>
      <c r="Y9" s="1">
        <f t="shared" si="6"/>
        <v>40451</v>
      </c>
      <c r="Z9" s="1">
        <v>40451</v>
      </c>
      <c r="AA9">
        <v>47.95</v>
      </c>
      <c r="AC9" s="1">
        <f t="shared" si="7"/>
        <v>40451</v>
      </c>
      <c r="AD9" s="1">
        <v>40451</v>
      </c>
      <c r="AE9">
        <v>108.9</v>
      </c>
      <c r="AG9" s="1">
        <f t="shared" si="8"/>
        <v>40816</v>
      </c>
      <c r="AH9" s="1">
        <v>40816</v>
      </c>
      <c r="AI9">
        <v>53.7</v>
      </c>
    </row>
    <row r="10" spans="1:35" x14ac:dyDescent="0.25">
      <c r="A10" s="1">
        <f t="shared" si="0"/>
        <v>40482</v>
      </c>
      <c r="B10" s="1">
        <v>40480</v>
      </c>
      <c r="C10">
        <v>65.676000000000002</v>
      </c>
      <c r="E10" s="1">
        <f t="shared" si="1"/>
        <v>41121</v>
      </c>
      <c r="F10" s="1">
        <v>41121</v>
      </c>
      <c r="G10">
        <v>119.2</v>
      </c>
      <c r="I10" s="1">
        <f t="shared" si="2"/>
        <v>40482</v>
      </c>
      <c r="J10" s="1">
        <v>40480</v>
      </c>
      <c r="K10">
        <v>373.35</v>
      </c>
      <c r="M10" s="1">
        <f t="shared" si="3"/>
        <v>40482</v>
      </c>
      <c r="N10" s="1">
        <v>40480</v>
      </c>
      <c r="O10">
        <v>2344</v>
      </c>
      <c r="Q10" s="1">
        <f t="shared" si="4"/>
        <v>40482</v>
      </c>
      <c r="R10" s="1">
        <v>40480</v>
      </c>
      <c r="S10">
        <v>0.98350000000000004</v>
      </c>
      <c r="U10" s="1">
        <f t="shared" si="5"/>
        <v>40482</v>
      </c>
      <c r="V10" s="1">
        <v>40480</v>
      </c>
      <c r="W10">
        <v>1183.26</v>
      </c>
      <c r="Y10" s="1">
        <f t="shared" si="6"/>
        <v>40482</v>
      </c>
      <c r="Z10" s="1">
        <v>40482</v>
      </c>
      <c r="AA10">
        <v>50.3</v>
      </c>
      <c r="AC10" s="1">
        <f t="shared" si="7"/>
        <v>40482</v>
      </c>
      <c r="AD10" s="1">
        <v>40482</v>
      </c>
      <c r="AE10">
        <v>106</v>
      </c>
      <c r="AG10" s="1">
        <f t="shared" si="8"/>
        <v>40847</v>
      </c>
      <c r="AH10" s="1">
        <v>40847</v>
      </c>
      <c r="AI10">
        <v>51.4</v>
      </c>
    </row>
    <row r="11" spans="1:35" x14ac:dyDescent="0.25">
      <c r="A11" s="1">
        <f t="shared" si="0"/>
        <v>40512</v>
      </c>
      <c r="B11" s="1">
        <v>40512</v>
      </c>
      <c r="C11">
        <v>64.677499999999995</v>
      </c>
      <c r="E11" s="1">
        <f t="shared" si="1"/>
        <v>41152</v>
      </c>
      <c r="F11" s="1">
        <v>41152</v>
      </c>
      <c r="G11">
        <v>89.8</v>
      </c>
      <c r="I11" s="1">
        <f t="shared" si="2"/>
        <v>40512</v>
      </c>
      <c r="J11" s="1">
        <v>40512</v>
      </c>
      <c r="K11">
        <v>382.3</v>
      </c>
      <c r="M11" s="1">
        <f t="shared" si="3"/>
        <v>40512</v>
      </c>
      <c r="N11" s="1">
        <v>40512</v>
      </c>
      <c r="O11">
        <v>2275</v>
      </c>
      <c r="Q11" s="1">
        <f t="shared" si="4"/>
        <v>40512</v>
      </c>
      <c r="R11" s="1">
        <v>40512</v>
      </c>
      <c r="S11">
        <v>0.95879999999999999</v>
      </c>
      <c r="U11" s="1">
        <f t="shared" si="5"/>
        <v>40512</v>
      </c>
      <c r="V11" s="1">
        <v>40512</v>
      </c>
      <c r="W11">
        <v>1180.55</v>
      </c>
      <c r="Y11" s="1">
        <f t="shared" si="6"/>
        <v>40512</v>
      </c>
      <c r="Z11" s="1">
        <v>40512</v>
      </c>
      <c r="AA11">
        <v>50.17</v>
      </c>
      <c r="AC11" s="1">
        <f t="shared" si="7"/>
        <v>40512</v>
      </c>
      <c r="AD11" s="1">
        <v>40512</v>
      </c>
      <c r="AE11">
        <v>110.8</v>
      </c>
      <c r="AG11" s="1">
        <f t="shared" si="8"/>
        <v>40877</v>
      </c>
      <c r="AH11" s="1">
        <v>40877</v>
      </c>
      <c r="AI11">
        <v>51.8</v>
      </c>
    </row>
    <row r="12" spans="1:35" x14ac:dyDescent="0.25">
      <c r="A12" s="1">
        <f t="shared" si="0"/>
        <v>40543</v>
      </c>
      <c r="B12" s="1">
        <v>40543</v>
      </c>
      <c r="C12">
        <v>72.271799999999999</v>
      </c>
      <c r="E12" s="1">
        <f t="shared" si="1"/>
        <v>41182</v>
      </c>
      <c r="F12" s="1">
        <v>41182</v>
      </c>
      <c r="G12">
        <v>106</v>
      </c>
      <c r="I12" s="1">
        <f t="shared" si="2"/>
        <v>40543</v>
      </c>
      <c r="J12" s="1">
        <v>40543</v>
      </c>
      <c r="K12">
        <v>444.7</v>
      </c>
      <c r="M12" s="1">
        <f t="shared" si="3"/>
        <v>40543</v>
      </c>
      <c r="N12" s="1">
        <v>40543</v>
      </c>
      <c r="O12">
        <v>2470</v>
      </c>
      <c r="Q12" s="1">
        <f t="shared" si="4"/>
        <v>40543</v>
      </c>
      <c r="R12" s="1">
        <v>40543</v>
      </c>
      <c r="S12">
        <v>1.0233000000000001</v>
      </c>
      <c r="U12" s="1">
        <f t="shared" si="5"/>
        <v>40543</v>
      </c>
      <c r="V12" s="1">
        <v>40543</v>
      </c>
      <c r="W12">
        <v>1257.6400000000001</v>
      </c>
      <c r="Y12" s="1">
        <f t="shared" si="6"/>
        <v>40543</v>
      </c>
      <c r="Z12" s="1">
        <v>40543</v>
      </c>
      <c r="AA12">
        <v>51.52</v>
      </c>
      <c r="AC12" s="1">
        <f t="shared" si="7"/>
        <v>40543</v>
      </c>
      <c r="AD12" s="1">
        <v>40543</v>
      </c>
      <c r="AE12">
        <v>118.6</v>
      </c>
      <c r="AG12" s="1">
        <f t="shared" si="8"/>
        <v>40908</v>
      </c>
      <c r="AH12" s="1">
        <v>40908</v>
      </c>
      <c r="AI12">
        <v>53</v>
      </c>
    </row>
    <row r="13" spans="1:35" x14ac:dyDescent="0.25">
      <c r="A13" s="1">
        <f t="shared" si="0"/>
        <v>40574</v>
      </c>
      <c r="B13" s="1">
        <v>40574</v>
      </c>
      <c r="C13">
        <v>70.0732</v>
      </c>
      <c r="E13" s="1">
        <f t="shared" si="1"/>
        <v>41213</v>
      </c>
      <c r="F13" s="1">
        <v>41213</v>
      </c>
      <c r="G13">
        <v>119.3</v>
      </c>
      <c r="I13" s="1">
        <f t="shared" si="2"/>
        <v>40574</v>
      </c>
      <c r="J13" s="1">
        <v>40574</v>
      </c>
      <c r="K13">
        <v>445.85</v>
      </c>
      <c r="M13" s="1">
        <f t="shared" si="3"/>
        <v>40574</v>
      </c>
      <c r="N13" s="1">
        <v>40574</v>
      </c>
      <c r="O13">
        <v>2520</v>
      </c>
      <c r="Q13" s="1">
        <f t="shared" si="4"/>
        <v>40574</v>
      </c>
      <c r="R13" s="1">
        <v>40574</v>
      </c>
      <c r="S13">
        <v>0.99739999999999995</v>
      </c>
      <c r="U13" s="1">
        <f t="shared" si="5"/>
        <v>40574</v>
      </c>
      <c r="V13" s="1">
        <v>40574</v>
      </c>
      <c r="W13">
        <v>1286.1199999999999</v>
      </c>
      <c r="Y13" s="1">
        <f t="shared" si="6"/>
        <v>40602</v>
      </c>
      <c r="Z13" s="1">
        <v>40602</v>
      </c>
      <c r="AA13">
        <v>54.31</v>
      </c>
      <c r="AC13" s="1">
        <f t="shared" si="7"/>
        <v>40574</v>
      </c>
      <c r="AD13" s="1">
        <v>40574</v>
      </c>
      <c r="AE13">
        <v>98.8</v>
      </c>
      <c r="AG13" s="1">
        <f t="shared" si="8"/>
        <v>40939</v>
      </c>
      <c r="AH13" s="1">
        <v>40939</v>
      </c>
      <c r="AI13">
        <v>54.2</v>
      </c>
    </row>
    <row r="14" spans="1:35" x14ac:dyDescent="0.25">
      <c r="A14" s="1">
        <f t="shared" si="0"/>
        <v>40602</v>
      </c>
      <c r="B14" s="1">
        <v>40602</v>
      </c>
      <c r="C14">
        <v>71.686899999999994</v>
      </c>
      <c r="E14" s="1">
        <f t="shared" si="1"/>
        <v>41243</v>
      </c>
      <c r="F14" s="1">
        <v>41243</v>
      </c>
      <c r="G14">
        <v>116.7</v>
      </c>
      <c r="I14" s="1">
        <f t="shared" si="2"/>
        <v>40602</v>
      </c>
      <c r="J14" s="1">
        <v>40602</v>
      </c>
      <c r="K14">
        <v>447.8</v>
      </c>
      <c r="M14" s="1">
        <f t="shared" si="3"/>
        <v>40602</v>
      </c>
      <c r="N14" s="1">
        <v>40602</v>
      </c>
      <c r="O14">
        <v>2600</v>
      </c>
      <c r="Q14" s="1">
        <f t="shared" si="4"/>
        <v>40602</v>
      </c>
      <c r="R14" s="1">
        <v>40602</v>
      </c>
      <c r="S14">
        <v>1.0185999999999999</v>
      </c>
      <c r="U14" s="1">
        <f t="shared" si="5"/>
        <v>40602</v>
      </c>
      <c r="V14" s="1">
        <v>40602</v>
      </c>
      <c r="W14">
        <v>1327.22</v>
      </c>
      <c r="Y14" s="1">
        <f t="shared" si="6"/>
        <v>40633</v>
      </c>
      <c r="Z14" s="1">
        <v>40633</v>
      </c>
      <c r="AA14">
        <v>59.42</v>
      </c>
      <c r="AC14" s="1">
        <f t="shared" si="7"/>
        <v>40602</v>
      </c>
      <c r="AD14" s="1">
        <v>40602</v>
      </c>
      <c r="AE14">
        <v>85.1</v>
      </c>
      <c r="AG14" s="1">
        <f t="shared" si="8"/>
        <v>40968</v>
      </c>
      <c r="AH14" s="1">
        <v>40968</v>
      </c>
      <c r="AI14">
        <v>53.3</v>
      </c>
    </row>
    <row r="15" spans="1:35" x14ac:dyDescent="0.25">
      <c r="A15" s="1">
        <f t="shared" si="0"/>
        <v>40633</v>
      </c>
      <c r="B15" s="1">
        <v>40633</v>
      </c>
      <c r="C15">
        <v>72.375600000000006</v>
      </c>
      <c r="E15" s="1">
        <f t="shared" si="1"/>
        <v>41274</v>
      </c>
      <c r="F15" s="1">
        <v>41274</v>
      </c>
      <c r="G15">
        <v>140.9</v>
      </c>
      <c r="I15" s="1">
        <f t="shared" si="2"/>
        <v>40633</v>
      </c>
      <c r="J15" s="1">
        <v>40633</v>
      </c>
      <c r="K15">
        <v>430.75</v>
      </c>
      <c r="M15" s="1">
        <f t="shared" si="3"/>
        <v>40633</v>
      </c>
      <c r="N15" s="1">
        <v>40633</v>
      </c>
      <c r="O15">
        <v>2648</v>
      </c>
      <c r="Q15" s="1">
        <f t="shared" si="4"/>
        <v>40633</v>
      </c>
      <c r="R15" s="1">
        <v>40633</v>
      </c>
      <c r="S15">
        <v>1.0328999999999999</v>
      </c>
      <c r="U15" s="1">
        <f t="shared" si="5"/>
        <v>40633</v>
      </c>
      <c r="V15" s="1">
        <v>40633</v>
      </c>
      <c r="W15">
        <v>1325.83</v>
      </c>
      <c r="Y15" s="1">
        <f t="shared" si="6"/>
        <v>40663</v>
      </c>
      <c r="Z15" s="1">
        <v>40663</v>
      </c>
      <c r="AA15">
        <v>59.03</v>
      </c>
      <c r="AC15" s="1">
        <f t="shared" si="7"/>
        <v>40633</v>
      </c>
      <c r="AD15" s="1">
        <v>40633</v>
      </c>
      <c r="AE15">
        <v>113.1</v>
      </c>
      <c r="AG15" s="1">
        <f t="shared" si="8"/>
        <v>40999</v>
      </c>
      <c r="AH15" s="1">
        <v>40999</v>
      </c>
      <c r="AI15">
        <v>53.5</v>
      </c>
    </row>
    <row r="16" spans="1:35" x14ac:dyDescent="0.25">
      <c r="A16" s="1">
        <f t="shared" si="0"/>
        <v>40663</v>
      </c>
      <c r="B16" s="1">
        <v>40662</v>
      </c>
      <c r="C16">
        <v>74.502499999999998</v>
      </c>
      <c r="E16" s="1">
        <f t="shared" si="1"/>
        <v>41305</v>
      </c>
      <c r="F16" s="1">
        <v>41305</v>
      </c>
      <c r="G16">
        <v>150.6</v>
      </c>
      <c r="I16" s="1">
        <f t="shared" si="2"/>
        <v>40663</v>
      </c>
      <c r="J16" s="1">
        <v>40662</v>
      </c>
      <c r="K16">
        <v>416.55</v>
      </c>
      <c r="M16" s="1">
        <f t="shared" si="3"/>
        <v>40663</v>
      </c>
      <c r="N16" s="1">
        <v>40662</v>
      </c>
      <c r="O16">
        <v>2767.5</v>
      </c>
      <c r="Q16" s="1">
        <f t="shared" si="4"/>
        <v>40663</v>
      </c>
      <c r="R16" s="1">
        <v>40662</v>
      </c>
      <c r="S16">
        <v>1.0971</v>
      </c>
      <c r="U16" s="1">
        <f t="shared" si="5"/>
        <v>40663</v>
      </c>
      <c r="V16" s="1">
        <v>40662</v>
      </c>
      <c r="W16">
        <v>1363.61</v>
      </c>
      <c r="Y16" s="1">
        <f t="shared" si="6"/>
        <v>40694</v>
      </c>
      <c r="Z16" s="1">
        <v>40694</v>
      </c>
      <c r="AA16">
        <v>60.25</v>
      </c>
      <c r="AC16" s="1">
        <f t="shared" si="7"/>
        <v>40663</v>
      </c>
      <c r="AD16" s="1">
        <v>40663</v>
      </c>
      <c r="AE16">
        <v>107</v>
      </c>
      <c r="AG16" s="1">
        <f t="shared" si="8"/>
        <v>41029</v>
      </c>
      <c r="AH16" s="1">
        <v>41029</v>
      </c>
      <c r="AI16">
        <v>55.2</v>
      </c>
    </row>
    <row r="17" spans="1:35" x14ac:dyDescent="0.25">
      <c r="A17" s="1">
        <f t="shared" si="0"/>
        <v>40694</v>
      </c>
      <c r="B17" s="1">
        <v>40694</v>
      </c>
      <c r="C17">
        <v>71.358000000000004</v>
      </c>
      <c r="E17" s="1">
        <f t="shared" si="1"/>
        <v>41333</v>
      </c>
      <c r="F17" s="1">
        <v>41333</v>
      </c>
      <c r="G17">
        <v>150.5</v>
      </c>
      <c r="I17" s="1">
        <f t="shared" si="2"/>
        <v>40694</v>
      </c>
      <c r="J17" s="1">
        <v>40694</v>
      </c>
      <c r="K17">
        <v>417.75</v>
      </c>
      <c r="M17" s="1">
        <f t="shared" si="3"/>
        <v>40694</v>
      </c>
      <c r="N17" s="1">
        <v>40694</v>
      </c>
      <c r="O17">
        <v>2675</v>
      </c>
      <c r="Q17" s="1">
        <f t="shared" si="4"/>
        <v>40694</v>
      </c>
      <c r="R17" s="1">
        <v>40694</v>
      </c>
      <c r="S17">
        <v>1.0671999999999999</v>
      </c>
      <c r="U17" s="1">
        <f t="shared" si="5"/>
        <v>40694</v>
      </c>
      <c r="V17" s="1">
        <v>40694</v>
      </c>
      <c r="W17">
        <v>1345.2</v>
      </c>
      <c r="Y17" s="1">
        <f t="shared" si="6"/>
        <v>40724</v>
      </c>
      <c r="Z17" s="1">
        <v>40724</v>
      </c>
      <c r="AA17">
        <v>59.93</v>
      </c>
      <c r="AC17" s="1">
        <f t="shared" si="7"/>
        <v>40694</v>
      </c>
      <c r="AD17" s="1">
        <v>40694</v>
      </c>
      <c r="AE17">
        <v>111.5</v>
      </c>
      <c r="AG17" s="1">
        <f t="shared" si="8"/>
        <v>41060</v>
      </c>
      <c r="AH17" s="1">
        <v>41060</v>
      </c>
      <c r="AI17">
        <v>53.2</v>
      </c>
    </row>
    <row r="18" spans="1:35" x14ac:dyDescent="0.25">
      <c r="A18" s="1">
        <f t="shared" si="0"/>
        <v>40724</v>
      </c>
      <c r="B18" s="1">
        <v>40724</v>
      </c>
      <c r="C18">
        <v>73.596800000000002</v>
      </c>
      <c r="E18" s="1">
        <f t="shared" si="1"/>
        <v>41364</v>
      </c>
      <c r="F18" s="1">
        <v>41364</v>
      </c>
      <c r="G18">
        <v>134</v>
      </c>
      <c r="I18" s="1">
        <f t="shared" si="2"/>
        <v>40724</v>
      </c>
      <c r="J18" s="1">
        <v>40724</v>
      </c>
      <c r="K18">
        <v>427.2</v>
      </c>
      <c r="M18" s="1">
        <f t="shared" si="3"/>
        <v>40724</v>
      </c>
      <c r="N18" s="1">
        <v>40724</v>
      </c>
      <c r="O18">
        <v>2532</v>
      </c>
      <c r="Q18" s="1">
        <f t="shared" si="4"/>
        <v>40724</v>
      </c>
      <c r="R18" s="1">
        <v>40724</v>
      </c>
      <c r="S18">
        <v>1.0722</v>
      </c>
      <c r="U18" s="1">
        <f t="shared" si="5"/>
        <v>40724</v>
      </c>
      <c r="V18" s="1">
        <v>40724</v>
      </c>
      <c r="W18">
        <v>1320.64</v>
      </c>
      <c r="Y18" s="1">
        <f t="shared" si="6"/>
        <v>40755</v>
      </c>
      <c r="Z18" s="1">
        <v>40755</v>
      </c>
      <c r="AA18">
        <v>59.3</v>
      </c>
      <c r="AC18" s="1">
        <f t="shared" si="7"/>
        <v>40724</v>
      </c>
      <c r="AD18" s="1">
        <v>40724</v>
      </c>
      <c r="AE18">
        <v>124</v>
      </c>
      <c r="AG18" s="1">
        <f t="shared" si="8"/>
        <v>41090</v>
      </c>
      <c r="AH18" s="1">
        <v>41090</v>
      </c>
      <c r="AI18">
        <v>49.5</v>
      </c>
    </row>
    <row r="19" spans="1:35" x14ac:dyDescent="0.25">
      <c r="A19" s="1">
        <f t="shared" si="0"/>
        <v>40755</v>
      </c>
      <c r="B19" s="1">
        <v>40753</v>
      </c>
      <c r="C19">
        <v>72.233199999999997</v>
      </c>
      <c r="E19" s="1">
        <f t="shared" si="1"/>
        <v>41394</v>
      </c>
      <c r="F19" s="1">
        <v>41394</v>
      </c>
      <c r="G19">
        <v>134.6</v>
      </c>
      <c r="I19" s="1">
        <f t="shared" si="2"/>
        <v>40755</v>
      </c>
      <c r="J19" s="1">
        <v>40753</v>
      </c>
      <c r="K19">
        <v>447.95</v>
      </c>
      <c r="M19" s="1">
        <f t="shared" si="3"/>
        <v>40755</v>
      </c>
      <c r="N19" s="1">
        <v>40753</v>
      </c>
      <c r="O19">
        <v>2624</v>
      </c>
      <c r="Q19" s="1">
        <f t="shared" si="4"/>
        <v>40755</v>
      </c>
      <c r="R19" s="1">
        <v>40753</v>
      </c>
      <c r="S19">
        <v>1.0992999999999999</v>
      </c>
      <c r="U19" s="1">
        <f t="shared" si="5"/>
        <v>40755</v>
      </c>
      <c r="V19" s="1">
        <v>40753</v>
      </c>
      <c r="W19">
        <v>1292.28</v>
      </c>
      <c r="Y19" s="1">
        <f t="shared" si="6"/>
        <v>40786</v>
      </c>
      <c r="Z19" s="1">
        <v>40786</v>
      </c>
      <c r="AA19">
        <v>58.75</v>
      </c>
      <c r="AC19" s="1">
        <f t="shared" si="7"/>
        <v>40755</v>
      </c>
      <c r="AD19" s="1">
        <v>40755</v>
      </c>
      <c r="AE19">
        <v>113.3</v>
      </c>
      <c r="AG19" s="1">
        <f t="shared" si="8"/>
        <v>41121</v>
      </c>
      <c r="AH19" s="1">
        <v>41121</v>
      </c>
      <c r="AI19">
        <v>49.6</v>
      </c>
    </row>
    <row r="20" spans="1:35" x14ac:dyDescent="0.25">
      <c r="A20" s="1">
        <f t="shared" si="0"/>
        <v>40786</v>
      </c>
      <c r="B20" s="1">
        <v>40786</v>
      </c>
      <c r="C20">
        <v>62.843499999999999</v>
      </c>
      <c r="E20" s="1">
        <f t="shared" si="1"/>
        <v>41425</v>
      </c>
      <c r="F20" s="1">
        <v>41425</v>
      </c>
      <c r="G20">
        <v>113</v>
      </c>
      <c r="I20" s="1">
        <f t="shared" si="2"/>
        <v>40786</v>
      </c>
      <c r="J20" s="1">
        <v>40786</v>
      </c>
      <c r="K20">
        <v>418.7</v>
      </c>
      <c r="M20" s="1">
        <f t="shared" si="3"/>
        <v>40786</v>
      </c>
      <c r="N20" s="1">
        <v>40786</v>
      </c>
      <c r="O20">
        <v>2469</v>
      </c>
      <c r="Q20" s="1">
        <f t="shared" si="4"/>
        <v>40786</v>
      </c>
      <c r="R20" s="1">
        <v>40786</v>
      </c>
      <c r="S20">
        <v>1.0707</v>
      </c>
      <c r="U20" s="1">
        <f t="shared" si="5"/>
        <v>40786</v>
      </c>
      <c r="V20" s="1">
        <v>40786</v>
      </c>
      <c r="W20">
        <v>1218.8900000000001</v>
      </c>
      <c r="Y20" s="1">
        <f t="shared" si="6"/>
        <v>40816</v>
      </c>
      <c r="Z20" s="1">
        <v>40816</v>
      </c>
      <c r="AA20">
        <v>56.7</v>
      </c>
      <c r="AC20" s="1">
        <f t="shared" si="7"/>
        <v>40786</v>
      </c>
      <c r="AD20" s="1">
        <v>40786</v>
      </c>
      <c r="AE20">
        <v>115.5</v>
      </c>
      <c r="AG20" s="1">
        <f t="shared" si="8"/>
        <v>41152</v>
      </c>
      <c r="AH20" s="1">
        <v>41152</v>
      </c>
      <c r="AI20">
        <v>49</v>
      </c>
    </row>
    <row r="21" spans="1:35" x14ac:dyDescent="0.25">
      <c r="A21" s="1">
        <f t="shared" si="0"/>
        <v>40816</v>
      </c>
      <c r="B21" s="1">
        <v>40816</v>
      </c>
      <c r="C21">
        <v>45.293399999999998</v>
      </c>
      <c r="E21" s="1">
        <f t="shared" si="1"/>
        <v>41455</v>
      </c>
      <c r="F21" s="1">
        <v>41455</v>
      </c>
      <c r="G21">
        <v>115.4</v>
      </c>
      <c r="I21" s="1">
        <f t="shared" si="2"/>
        <v>40816</v>
      </c>
      <c r="J21" s="1">
        <v>40816</v>
      </c>
      <c r="K21">
        <v>315.2</v>
      </c>
      <c r="M21" s="1">
        <f t="shared" si="3"/>
        <v>40816</v>
      </c>
      <c r="N21" s="1">
        <v>40816</v>
      </c>
      <c r="O21">
        <v>2157</v>
      </c>
      <c r="Q21" s="1">
        <f t="shared" si="4"/>
        <v>40816</v>
      </c>
      <c r="R21" s="1">
        <v>40816</v>
      </c>
      <c r="S21">
        <v>0.96619999999999995</v>
      </c>
      <c r="U21" s="1">
        <f t="shared" si="5"/>
        <v>40816</v>
      </c>
      <c r="V21" s="1">
        <v>40816</v>
      </c>
      <c r="W21">
        <v>1131.42</v>
      </c>
      <c r="Y21" s="1">
        <f t="shared" si="6"/>
        <v>40847</v>
      </c>
      <c r="Z21" s="1">
        <v>40847</v>
      </c>
      <c r="AA21">
        <v>54.67</v>
      </c>
      <c r="AC21" s="1">
        <f t="shared" si="7"/>
        <v>40816</v>
      </c>
      <c r="AD21" s="1">
        <v>40816</v>
      </c>
      <c r="AE21">
        <v>123.4</v>
      </c>
      <c r="AG21" s="1">
        <f t="shared" si="8"/>
        <v>41182</v>
      </c>
      <c r="AH21" s="1">
        <v>41182</v>
      </c>
      <c r="AI21">
        <v>50.8</v>
      </c>
    </row>
    <row r="22" spans="1:35" x14ac:dyDescent="0.25">
      <c r="A22" s="1">
        <f t="shared" si="0"/>
        <v>40847</v>
      </c>
      <c r="B22" s="1">
        <v>40847</v>
      </c>
      <c r="C22">
        <v>55.548099999999998</v>
      </c>
      <c r="E22" s="1">
        <f t="shared" si="1"/>
        <v>41486</v>
      </c>
      <c r="F22" s="1">
        <v>41486</v>
      </c>
      <c r="G22">
        <v>127.6</v>
      </c>
      <c r="I22" s="1">
        <f t="shared" si="2"/>
        <v>40847</v>
      </c>
      <c r="J22" s="1">
        <v>40847</v>
      </c>
      <c r="K22">
        <v>363.2</v>
      </c>
      <c r="M22" s="1">
        <f t="shared" si="3"/>
        <v>40847</v>
      </c>
      <c r="N22" s="1">
        <v>40847</v>
      </c>
      <c r="O22">
        <v>2218</v>
      </c>
      <c r="Q22" s="1">
        <f t="shared" si="4"/>
        <v>40847</v>
      </c>
      <c r="R22" s="1">
        <v>40847</v>
      </c>
      <c r="S22">
        <v>1.0529999999999999</v>
      </c>
      <c r="U22" s="1">
        <f t="shared" si="5"/>
        <v>40847</v>
      </c>
      <c r="V22" s="1">
        <v>40847</v>
      </c>
      <c r="W22">
        <v>1253.3</v>
      </c>
      <c r="Y22" s="1">
        <f t="shared" si="6"/>
        <v>40877</v>
      </c>
      <c r="Z22" s="1">
        <v>40877</v>
      </c>
      <c r="AA22">
        <v>49.88</v>
      </c>
      <c r="AC22" s="1">
        <f t="shared" si="7"/>
        <v>40847</v>
      </c>
      <c r="AD22" s="1">
        <v>40847</v>
      </c>
      <c r="AE22">
        <v>119.9</v>
      </c>
      <c r="AG22" s="1">
        <f t="shared" si="8"/>
        <v>41213</v>
      </c>
      <c r="AH22" s="1">
        <v>41213</v>
      </c>
      <c r="AI22">
        <v>50.5</v>
      </c>
    </row>
    <row r="23" spans="1:35" x14ac:dyDescent="0.25">
      <c r="A23" s="1">
        <f t="shared" si="0"/>
        <v>40877</v>
      </c>
      <c r="B23" s="1">
        <v>40877</v>
      </c>
      <c r="C23">
        <v>54.530799999999999</v>
      </c>
      <c r="E23" s="1">
        <f t="shared" si="1"/>
        <v>41517</v>
      </c>
      <c r="F23" s="1">
        <v>41517</v>
      </c>
      <c r="G23">
        <v>134.5</v>
      </c>
      <c r="I23" s="1">
        <f t="shared" si="2"/>
        <v>40877</v>
      </c>
      <c r="J23" s="1">
        <v>40877</v>
      </c>
      <c r="K23">
        <v>356.3</v>
      </c>
      <c r="M23" s="1">
        <f t="shared" si="3"/>
        <v>40877</v>
      </c>
      <c r="N23" s="1">
        <v>40877</v>
      </c>
      <c r="O23">
        <v>2110</v>
      </c>
      <c r="Q23" s="1">
        <f t="shared" si="4"/>
        <v>40877</v>
      </c>
      <c r="R23" s="1">
        <v>40877</v>
      </c>
      <c r="S23">
        <v>1.0283</v>
      </c>
      <c r="U23" s="1">
        <f t="shared" si="5"/>
        <v>40877</v>
      </c>
      <c r="V23" s="1">
        <v>40877</v>
      </c>
      <c r="W23">
        <v>1246.96</v>
      </c>
      <c r="Y23" s="1">
        <f t="shared" si="6"/>
        <v>40908</v>
      </c>
      <c r="Z23" s="1">
        <v>40908</v>
      </c>
      <c r="AA23">
        <v>52.16</v>
      </c>
      <c r="AC23" s="1">
        <f t="shared" si="7"/>
        <v>40877</v>
      </c>
      <c r="AD23" s="1">
        <v>40877</v>
      </c>
      <c r="AE23">
        <v>125.5</v>
      </c>
      <c r="AG23" s="1">
        <f t="shared" si="8"/>
        <v>41243</v>
      </c>
      <c r="AH23" s="1">
        <v>41243</v>
      </c>
      <c r="AI23">
        <v>48</v>
      </c>
    </row>
    <row r="24" spans="1:35" x14ac:dyDescent="0.25">
      <c r="A24" s="1">
        <f t="shared" si="0"/>
        <v>40908</v>
      </c>
      <c r="B24" s="1">
        <v>40907</v>
      </c>
      <c r="C24">
        <v>50.266599999999997</v>
      </c>
      <c r="E24" s="1">
        <f t="shared" si="1"/>
        <v>41547</v>
      </c>
      <c r="F24" s="1">
        <v>41547</v>
      </c>
      <c r="G24">
        <v>131.9</v>
      </c>
      <c r="I24" s="1">
        <f t="shared" si="2"/>
        <v>40908</v>
      </c>
      <c r="J24" s="1">
        <v>40907</v>
      </c>
      <c r="K24">
        <v>343.6</v>
      </c>
      <c r="M24" s="1">
        <f t="shared" si="3"/>
        <v>40908</v>
      </c>
      <c r="N24" s="1">
        <v>40907</v>
      </c>
      <c r="O24">
        <v>2020</v>
      </c>
      <c r="Q24" s="1">
        <f t="shared" si="4"/>
        <v>40908</v>
      </c>
      <c r="R24" s="1">
        <v>40907</v>
      </c>
      <c r="S24">
        <v>1.0208999999999999</v>
      </c>
      <c r="U24" s="1">
        <f t="shared" si="5"/>
        <v>40908</v>
      </c>
      <c r="V24" s="1">
        <v>40907</v>
      </c>
      <c r="W24">
        <v>1257.6099999999999</v>
      </c>
      <c r="Y24" s="1">
        <f t="shared" si="6"/>
        <v>40968</v>
      </c>
      <c r="Z24" s="1">
        <v>40968</v>
      </c>
      <c r="AA24">
        <v>55.88</v>
      </c>
      <c r="AC24" s="1">
        <f t="shared" si="7"/>
        <v>40908</v>
      </c>
      <c r="AD24" s="1">
        <v>40908</v>
      </c>
      <c r="AE24">
        <v>134.6</v>
      </c>
      <c r="AG24" s="1">
        <f t="shared" si="8"/>
        <v>41274</v>
      </c>
      <c r="AH24" s="1">
        <v>41274</v>
      </c>
      <c r="AI24">
        <v>50.1</v>
      </c>
    </row>
    <row r="25" spans="1:35" x14ac:dyDescent="0.25">
      <c r="A25" s="1">
        <f t="shared" si="0"/>
        <v>40939</v>
      </c>
      <c r="B25" s="1">
        <v>40939</v>
      </c>
      <c r="C25">
        <v>62.124200000000002</v>
      </c>
      <c r="E25" s="1">
        <f t="shared" si="1"/>
        <v>41578</v>
      </c>
      <c r="F25" s="1">
        <v>41578</v>
      </c>
      <c r="G25">
        <v>133.6</v>
      </c>
      <c r="I25" s="1">
        <f t="shared" si="2"/>
        <v>40939</v>
      </c>
      <c r="J25" s="1">
        <v>40939</v>
      </c>
      <c r="K25">
        <v>379</v>
      </c>
      <c r="M25" s="1">
        <f t="shared" si="3"/>
        <v>40939</v>
      </c>
      <c r="N25" s="1">
        <v>40939</v>
      </c>
      <c r="O25">
        <v>2238</v>
      </c>
      <c r="Q25" s="1">
        <f t="shared" si="4"/>
        <v>40939</v>
      </c>
      <c r="R25" s="1">
        <v>40939</v>
      </c>
      <c r="S25">
        <v>1.0621</v>
      </c>
      <c r="U25" s="1">
        <f t="shared" si="5"/>
        <v>40939</v>
      </c>
      <c r="V25" s="1">
        <v>40939</v>
      </c>
      <c r="W25">
        <v>1312.41</v>
      </c>
      <c r="Y25" s="1">
        <f t="shared" si="6"/>
        <v>40999</v>
      </c>
      <c r="Z25" s="1">
        <v>40999</v>
      </c>
      <c r="AA25">
        <v>61.58</v>
      </c>
      <c r="AC25" s="1">
        <f t="shared" si="7"/>
        <v>40939</v>
      </c>
      <c r="AD25" s="1">
        <v>40939</v>
      </c>
      <c r="AE25">
        <v>101.7</v>
      </c>
      <c r="AG25" s="1">
        <f t="shared" si="8"/>
        <v>41305</v>
      </c>
      <c r="AH25" s="1">
        <v>41305</v>
      </c>
      <c r="AI25">
        <v>53.3</v>
      </c>
    </row>
    <row r="26" spans="1:35" x14ac:dyDescent="0.25">
      <c r="A26" s="1">
        <f t="shared" si="0"/>
        <v>40968</v>
      </c>
      <c r="B26" s="1">
        <v>40968</v>
      </c>
      <c r="C26">
        <v>59.437899999999999</v>
      </c>
      <c r="E26" s="1">
        <f t="shared" si="1"/>
        <v>41608</v>
      </c>
      <c r="F26" s="1">
        <v>41608</v>
      </c>
      <c r="G26">
        <v>135.96</v>
      </c>
      <c r="I26" s="1">
        <f t="shared" si="2"/>
        <v>40968</v>
      </c>
      <c r="J26" s="1">
        <v>40968</v>
      </c>
      <c r="K26">
        <v>387.05</v>
      </c>
      <c r="M26" s="1">
        <f t="shared" si="3"/>
        <v>40968</v>
      </c>
      <c r="N26" s="1">
        <v>40968</v>
      </c>
      <c r="O26">
        <v>2328</v>
      </c>
      <c r="Q26" s="1">
        <f t="shared" si="4"/>
        <v>40968</v>
      </c>
      <c r="R26" s="1">
        <v>40968</v>
      </c>
      <c r="S26">
        <v>1.0731999999999999</v>
      </c>
      <c r="U26" s="1">
        <f t="shared" si="5"/>
        <v>40968</v>
      </c>
      <c r="V26" s="1">
        <v>40968</v>
      </c>
      <c r="W26">
        <v>1365.68</v>
      </c>
      <c r="Y26" s="1">
        <f t="shared" si="6"/>
        <v>41029</v>
      </c>
      <c r="Z26" s="1">
        <v>41029</v>
      </c>
      <c r="AA26">
        <v>60.58</v>
      </c>
      <c r="AC26" s="1">
        <f t="shared" si="7"/>
        <v>40968</v>
      </c>
      <c r="AD26" s="1">
        <v>40968</v>
      </c>
      <c r="AE26">
        <v>103.2</v>
      </c>
      <c r="AG26" s="1">
        <f t="shared" si="8"/>
        <v>41333</v>
      </c>
      <c r="AH26" s="1">
        <v>41333</v>
      </c>
      <c r="AI26">
        <v>54.2</v>
      </c>
    </row>
    <row r="27" spans="1:35" x14ac:dyDescent="0.25">
      <c r="A27" s="1">
        <f t="shared" si="0"/>
        <v>40999</v>
      </c>
      <c r="B27" s="1">
        <v>40998</v>
      </c>
      <c r="C27">
        <v>58.038800000000002</v>
      </c>
      <c r="E27" s="1">
        <f t="shared" si="1"/>
        <v>41639</v>
      </c>
      <c r="F27" s="1">
        <v>41639</v>
      </c>
      <c r="G27">
        <v>133.41</v>
      </c>
      <c r="I27" s="1">
        <f t="shared" si="2"/>
        <v>40999</v>
      </c>
      <c r="J27" s="1">
        <v>40998</v>
      </c>
      <c r="K27">
        <v>382.5</v>
      </c>
      <c r="M27" s="1">
        <f t="shared" si="3"/>
        <v>40999</v>
      </c>
      <c r="N27" s="1">
        <v>40998</v>
      </c>
      <c r="O27">
        <v>2126</v>
      </c>
      <c r="Q27" s="1">
        <f t="shared" si="4"/>
        <v>40999</v>
      </c>
      <c r="R27" s="1">
        <v>40998</v>
      </c>
      <c r="S27">
        <v>1.0346</v>
      </c>
      <c r="U27" s="1">
        <f t="shared" si="5"/>
        <v>40999</v>
      </c>
      <c r="V27" s="1">
        <v>40998</v>
      </c>
      <c r="W27">
        <v>1408.47</v>
      </c>
      <c r="Y27" s="1">
        <f t="shared" si="6"/>
        <v>41060</v>
      </c>
      <c r="Z27" s="1">
        <v>41060</v>
      </c>
      <c r="AA27">
        <v>61.23</v>
      </c>
      <c r="AC27" s="1">
        <f t="shared" si="7"/>
        <v>40999</v>
      </c>
      <c r="AD27" s="1">
        <v>40999</v>
      </c>
      <c r="AE27">
        <v>126.6</v>
      </c>
      <c r="AG27" s="1">
        <f t="shared" si="8"/>
        <v>41364</v>
      </c>
      <c r="AH27" s="1">
        <v>41364</v>
      </c>
      <c r="AI27">
        <v>51.9</v>
      </c>
    </row>
    <row r="28" spans="1:35" x14ac:dyDescent="0.25">
      <c r="A28" s="1">
        <f t="shared" si="0"/>
        <v>41029</v>
      </c>
      <c r="B28" s="1">
        <v>41029</v>
      </c>
      <c r="C28">
        <v>58.54</v>
      </c>
      <c r="E28" s="1">
        <f t="shared" si="1"/>
        <v>41670</v>
      </c>
      <c r="F28" s="1">
        <v>41670</v>
      </c>
      <c r="G28">
        <v>125.4</v>
      </c>
      <c r="I28" s="1">
        <f t="shared" si="2"/>
        <v>41029</v>
      </c>
      <c r="J28" s="1">
        <v>41029</v>
      </c>
      <c r="K28">
        <v>383.35</v>
      </c>
      <c r="M28" s="1">
        <f t="shared" si="3"/>
        <v>41029</v>
      </c>
      <c r="N28" s="1">
        <v>41029</v>
      </c>
      <c r="O28">
        <v>2119</v>
      </c>
      <c r="Q28" s="1">
        <f t="shared" si="4"/>
        <v>41029</v>
      </c>
      <c r="R28" s="1">
        <v>41029</v>
      </c>
      <c r="S28">
        <v>1.0428999999999999</v>
      </c>
      <c r="U28" s="1">
        <f t="shared" si="5"/>
        <v>41029</v>
      </c>
      <c r="V28" s="1">
        <v>41029</v>
      </c>
      <c r="W28">
        <v>1397.91</v>
      </c>
      <c r="Y28" s="1">
        <f t="shared" si="6"/>
        <v>41090</v>
      </c>
      <c r="Z28" s="1">
        <v>41090</v>
      </c>
      <c r="AA28">
        <v>60.21</v>
      </c>
      <c r="AC28" s="1">
        <f t="shared" si="7"/>
        <v>41029</v>
      </c>
      <c r="AD28" s="1">
        <v>41029</v>
      </c>
      <c r="AE28">
        <v>116.9</v>
      </c>
      <c r="AG28" s="1">
        <f t="shared" si="8"/>
        <v>41394</v>
      </c>
      <c r="AH28" s="1">
        <v>41394</v>
      </c>
      <c r="AI28">
        <v>51</v>
      </c>
    </row>
    <row r="29" spans="1:35" x14ac:dyDescent="0.25">
      <c r="A29" s="1">
        <f t="shared" si="0"/>
        <v>41060</v>
      </c>
      <c r="B29" s="1">
        <v>41060</v>
      </c>
      <c r="C29">
        <v>45.123899999999999</v>
      </c>
      <c r="E29" s="1">
        <f t="shared" si="1"/>
        <v>41698</v>
      </c>
      <c r="F29" s="1">
        <v>41698</v>
      </c>
      <c r="G29">
        <v>115.8</v>
      </c>
      <c r="I29" s="1">
        <f t="shared" si="2"/>
        <v>41060</v>
      </c>
      <c r="J29" s="1">
        <v>41060</v>
      </c>
      <c r="K29">
        <v>336.55</v>
      </c>
      <c r="M29" s="1">
        <f t="shared" si="3"/>
        <v>41060</v>
      </c>
      <c r="N29" s="1">
        <v>41060</v>
      </c>
      <c r="O29">
        <v>1994</v>
      </c>
      <c r="Q29" s="1">
        <f t="shared" si="4"/>
        <v>41060</v>
      </c>
      <c r="R29" s="1">
        <v>41060</v>
      </c>
      <c r="S29">
        <v>0.97340000000000004</v>
      </c>
      <c r="U29" s="1">
        <f t="shared" si="5"/>
        <v>41060</v>
      </c>
      <c r="V29" s="1">
        <v>41060</v>
      </c>
      <c r="W29">
        <v>1310.33</v>
      </c>
      <c r="Y29" s="1">
        <f t="shared" si="6"/>
        <v>41121</v>
      </c>
      <c r="Z29" s="1">
        <v>41121</v>
      </c>
      <c r="AA29">
        <v>61.69</v>
      </c>
      <c r="AC29" s="1">
        <f t="shared" si="7"/>
        <v>41060</v>
      </c>
      <c r="AD29" s="1">
        <v>41060</v>
      </c>
      <c r="AE29">
        <v>122.2</v>
      </c>
      <c r="AG29" s="1">
        <f t="shared" si="8"/>
        <v>41425</v>
      </c>
      <c r="AH29" s="1">
        <v>41425</v>
      </c>
      <c r="AI29">
        <v>50.8</v>
      </c>
    </row>
    <row r="30" spans="1:35" x14ac:dyDescent="0.25">
      <c r="A30" s="1">
        <f t="shared" si="0"/>
        <v>41090</v>
      </c>
      <c r="B30" s="1">
        <v>41089</v>
      </c>
      <c r="C30">
        <v>49.9161</v>
      </c>
      <c r="E30" s="1">
        <f t="shared" si="1"/>
        <v>41729</v>
      </c>
      <c r="F30" s="1">
        <v>41729</v>
      </c>
      <c r="G30">
        <v>108.1</v>
      </c>
      <c r="I30" s="1">
        <f t="shared" si="2"/>
        <v>41090</v>
      </c>
      <c r="J30" s="1">
        <v>41089</v>
      </c>
      <c r="K30">
        <v>349</v>
      </c>
      <c r="M30" s="1">
        <f t="shared" si="3"/>
        <v>41090</v>
      </c>
      <c r="N30" s="1">
        <v>41089</v>
      </c>
      <c r="O30">
        <v>1911</v>
      </c>
      <c r="Q30" s="1">
        <f t="shared" si="4"/>
        <v>41090</v>
      </c>
      <c r="R30" s="1">
        <v>41089</v>
      </c>
      <c r="S30">
        <v>1.0238</v>
      </c>
      <c r="U30" s="1">
        <f t="shared" si="5"/>
        <v>41090</v>
      </c>
      <c r="V30" s="1">
        <v>41089</v>
      </c>
      <c r="W30">
        <v>1362.16</v>
      </c>
      <c r="Y30" s="1">
        <f t="shared" si="6"/>
        <v>41152</v>
      </c>
      <c r="Z30" s="1">
        <v>41152</v>
      </c>
      <c r="AA30">
        <v>58.7</v>
      </c>
      <c r="AC30" s="1">
        <f t="shared" si="7"/>
        <v>41090</v>
      </c>
      <c r="AD30" s="1">
        <v>41090</v>
      </c>
      <c r="AE30">
        <v>135.69999999999999</v>
      </c>
      <c r="AG30" s="1">
        <f t="shared" si="8"/>
        <v>41455</v>
      </c>
      <c r="AH30" s="1">
        <v>41455</v>
      </c>
      <c r="AI30">
        <v>51.1</v>
      </c>
    </row>
    <row r="31" spans="1:35" x14ac:dyDescent="0.25">
      <c r="A31" s="1">
        <f t="shared" si="0"/>
        <v>41121</v>
      </c>
      <c r="B31" s="1">
        <v>41121</v>
      </c>
      <c r="C31">
        <v>48.245600000000003</v>
      </c>
      <c r="E31" s="1">
        <f t="shared" si="1"/>
        <v>41759</v>
      </c>
      <c r="F31" s="1">
        <v>41759</v>
      </c>
      <c r="G31">
        <v>103.9</v>
      </c>
      <c r="I31" s="1">
        <f t="shared" si="2"/>
        <v>41121</v>
      </c>
      <c r="J31" s="1">
        <v>41121</v>
      </c>
      <c r="K31">
        <v>341.75</v>
      </c>
      <c r="M31" s="1">
        <f t="shared" si="3"/>
        <v>41121</v>
      </c>
      <c r="N31" s="1">
        <v>41121</v>
      </c>
      <c r="O31">
        <v>1889</v>
      </c>
      <c r="Q31" s="1">
        <f t="shared" si="4"/>
        <v>41121</v>
      </c>
      <c r="R31" s="1">
        <v>41121</v>
      </c>
      <c r="S31">
        <v>1.0503</v>
      </c>
      <c r="U31" s="1">
        <f t="shared" si="5"/>
        <v>41121</v>
      </c>
      <c r="V31" s="1">
        <v>41121</v>
      </c>
      <c r="W31">
        <v>1379.32</v>
      </c>
      <c r="Y31" s="1">
        <f t="shared" si="6"/>
        <v>41182</v>
      </c>
      <c r="Z31" s="1">
        <v>41182</v>
      </c>
      <c r="AA31">
        <v>57.95</v>
      </c>
      <c r="AC31" s="1">
        <f t="shared" si="7"/>
        <v>41121</v>
      </c>
      <c r="AD31" s="1">
        <v>41121</v>
      </c>
      <c r="AE31">
        <v>123.8</v>
      </c>
      <c r="AG31" s="1">
        <f t="shared" si="8"/>
        <v>41486</v>
      </c>
      <c r="AH31" s="1">
        <v>41486</v>
      </c>
      <c r="AI31">
        <v>53.8</v>
      </c>
    </row>
    <row r="32" spans="1:35" x14ac:dyDescent="0.25">
      <c r="A32" s="1">
        <f t="shared" si="0"/>
        <v>41152</v>
      </c>
      <c r="B32" s="1">
        <v>41152</v>
      </c>
      <c r="C32">
        <v>46.470399999999998</v>
      </c>
      <c r="E32" s="1">
        <f t="shared" si="1"/>
        <v>41790</v>
      </c>
      <c r="F32" s="1">
        <v>41790</v>
      </c>
      <c r="G32">
        <v>92.2</v>
      </c>
      <c r="I32" s="1">
        <f t="shared" si="2"/>
        <v>41152</v>
      </c>
      <c r="J32" s="1">
        <v>41152</v>
      </c>
      <c r="K32">
        <v>345.4</v>
      </c>
      <c r="M32" s="1">
        <f t="shared" si="3"/>
        <v>41152</v>
      </c>
      <c r="N32" s="1">
        <v>41152</v>
      </c>
      <c r="O32">
        <v>1902</v>
      </c>
      <c r="Q32" s="1">
        <f t="shared" si="4"/>
        <v>41152</v>
      </c>
      <c r="R32" s="1">
        <v>41152</v>
      </c>
      <c r="S32">
        <v>1.0322</v>
      </c>
      <c r="U32" s="1">
        <f t="shared" si="5"/>
        <v>41152</v>
      </c>
      <c r="V32" s="1">
        <v>41152</v>
      </c>
      <c r="W32">
        <v>1406.58</v>
      </c>
      <c r="Y32" s="1">
        <f t="shared" si="6"/>
        <v>41213</v>
      </c>
      <c r="Z32" s="1">
        <v>41213</v>
      </c>
      <c r="AA32">
        <v>59.1</v>
      </c>
      <c r="AC32" s="1">
        <f t="shared" si="7"/>
        <v>41152</v>
      </c>
      <c r="AD32" s="1">
        <v>41152</v>
      </c>
      <c r="AE32">
        <v>125.8</v>
      </c>
      <c r="AG32" s="1">
        <f t="shared" si="8"/>
        <v>41517</v>
      </c>
      <c r="AH32" s="1">
        <v>41517</v>
      </c>
      <c r="AI32">
        <v>54</v>
      </c>
    </row>
    <row r="33" spans="1:35" x14ac:dyDescent="0.25">
      <c r="A33" s="1">
        <f t="shared" si="0"/>
        <v>41182</v>
      </c>
      <c r="B33" s="1">
        <v>41180</v>
      </c>
      <c r="C33">
        <v>49.576999999999998</v>
      </c>
      <c r="E33" s="1">
        <f t="shared" si="1"/>
        <v>41820</v>
      </c>
      <c r="F33" s="1">
        <v>41820</v>
      </c>
      <c r="G33">
        <v>90.4</v>
      </c>
      <c r="I33" s="1">
        <f t="shared" si="2"/>
        <v>41182</v>
      </c>
      <c r="J33" s="1">
        <v>41180</v>
      </c>
      <c r="K33">
        <v>375.8</v>
      </c>
      <c r="M33" s="1">
        <f t="shared" si="3"/>
        <v>41182</v>
      </c>
      <c r="N33" s="1">
        <v>41180</v>
      </c>
      <c r="O33">
        <v>2112</v>
      </c>
      <c r="Q33" s="1">
        <f t="shared" si="4"/>
        <v>41182</v>
      </c>
      <c r="R33" s="1">
        <v>41180</v>
      </c>
      <c r="S33">
        <v>1.0378000000000001</v>
      </c>
      <c r="U33" s="1">
        <f t="shared" si="5"/>
        <v>41182</v>
      </c>
      <c r="V33" s="1">
        <v>41180</v>
      </c>
      <c r="W33">
        <v>1440.67</v>
      </c>
      <c r="Y33" s="1">
        <f t="shared" si="6"/>
        <v>41243</v>
      </c>
      <c r="Z33" s="1">
        <v>41243</v>
      </c>
      <c r="AA33">
        <v>57.47</v>
      </c>
      <c r="AC33" s="1">
        <f t="shared" si="7"/>
        <v>41182</v>
      </c>
      <c r="AD33" s="1">
        <v>41182</v>
      </c>
      <c r="AE33">
        <v>134.69999999999999</v>
      </c>
      <c r="AG33" s="1">
        <f t="shared" si="8"/>
        <v>41547</v>
      </c>
      <c r="AH33" s="1">
        <v>41547</v>
      </c>
      <c r="AI33">
        <v>54.6</v>
      </c>
    </row>
    <row r="34" spans="1:35" x14ac:dyDescent="0.25">
      <c r="A34" s="1">
        <f t="shared" si="0"/>
        <v>41213</v>
      </c>
      <c r="B34" s="1">
        <v>41213</v>
      </c>
      <c r="C34">
        <v>52.990900000000003</v>
      </c>
      <c r="E34" s="1">
        <f t="shared" si="1"/>
        <v>41851</v>
      </c>
      <c r="F34" s="1">
        <v>41851</v>
      </c>
      <c r="G34">
        <v>92.3</v>
      </c>
      <c r="I34" s="1">
        <f t="shared" si="2"/>
        <v>41213</v>
      </c>
      <c r="J34" s="1">
        <v>41213</v>
      </c>
      <c r="K34">
        <v>351.75</v>
      </c>
      <c r="M34" s="1">
        <f t="shared" si="3"/>
        <v>41213</v>
      </c>
      <c r="N34" s="1">
        <v>41213</v>
      </c>
      <c r="O34">
        <v>1906</v>
      </c>
      <c r="Q34" s="1">
        <f t="shared" si="4"/>
        <v>41213</v>
      </c>
      <c r="R34" s="1">
        <v>41213</v>
      </c>
      <c r="S34">
        <v>1.0376000000000001</v>
      </c>
      <c r="U34" s="1">
        <f t="shared" si="5"/>
        <v>41213</v>
      </c>
      <c r="V34" s="1">
        <v>41213</v>
      </c>
      <c r="W34">
        <v>1412.16</v>
      </c>
      <c r="Y34" s="1">
        <f t="shared" si="6"/>
        <v>41274</v>
      </c>
      <c r="Z34" s="1">
        <v>41274</v>
      </c>
      <c r="AA34">
        <v>57.66</v>
      </c>
      <c r="AC34" s="1">
        <f t="shared" si="7"/>
        <v>41213</v>
      </c>
      <c r="AD34" s="1">
        <v>41213</v>
      </c>
      <c r="AE34">
        <v>131.30000000000001</v>
      </c>
      <c r="AG34" s="1">
        <f t="shared" si="8"/>
        <v>41578</v>
      </c>
      <c r="AH34" s="1">
        <v>41578</v>
      </c>
      <c r="AI34">
        <v>54.6</v>
      </c>
    </row>
    <row r="35" spans="1:35" x14ac:dyDescent="0.25">
      <c r="A35" s="1">
        <f t="shared" si="0"/>
        <v>41243</v>
      </c>
      <c r="B35" s="1">
        <v>41243</v>
      </c>
      <c r="C35">
        <v>52.8001</v>
      </c>
      <c r="E35" s="1">
        <f t="shared" si="1"/>
        <v>41882</v>
      </c>
      <c r="F35" s="1">
        <v>41882</v>
      </c>
      <c r="G35">
        <v>86.2</v>
      </c>
      <c r="I35" s="1">
        <f t="shared" si="2"/>
        <v>41243</v>
      </c>
      <c r="J35" s="1">
        <v>41243</v>
      </c>
      <c r="K35">
        <v>362.95</v>
      </c>
      <c r="M35" s="1">
        <f t="shared" si="3"/>
        <v>41243</v>
      </c>
      <c r="N35" s="1">
        <v>41243</v>
      </c>
      <c r="O35">
        <v>2094</v>
      </c>
      <c r="Q35" s="1">
        <f t="shared" si="4"/>
        <v>41243</v>
      </c>
      <c r="R35" s="1">
        <v>41243</v>
      </c>
      <c r="S35">
        <v>1.0427999999999999</v>
      </c>
      <c r="U35" s="1">
        <f t="shared" si="5"/>
        <v>41243</v>
      </c>
      <c r="V35" s="1">
        <v>41243</v>
      </c>
      <c r="W35">
        <v>1416.18</v>
      </c>
      <c r="Y35" s="1">
        <f t="shared" si="6"/>
        <v>41364</v>
      </c>
      <c r="Z35" s="1">
        <v>41364</v>
      </c>
      <c r="AA35">
        <v>66.3</v>
      </c>
      <c r="AC35" s="1">
        <f t="shared" si="7"/>
        <v>41243</v>
      </c>
      <c r="AD35" s="1">
        <v>41243</v>
      </c>
      <c r="AE35">
        <v>138.19999999999999</v>
      </c>
      <c r="AG35" s="1">
        <f t="shared" si="8"/>
        <v>41608</v>
      </c>
      <c r="AH35" s="1">
        <v>41608</v>
      </c>
      <c r="AI35">
        <v>55.5</v>
      </c>
    </row>
    <row r="36" spans="1:35" x14ac:dyDescent="0.25">
      <c r="A36" s="1">
        <f t="shared" si="0"/>
        <v>41274</v>
      </c>
      <c r="B36" s="1">
        <v>41274</v>
      </c>
      <c r="C36">
        <v>61.589500000000001</v>
      </c>
      <c r="E36" s="1">
        <f t="shared" si="1"/>
        <v>41912</v>
      </c>
      <c r="F36" s="1">
        <v>41912</v>
      </c>
      <c r="G36">
        <v>80.8</v>
      </c>
      <c r="I36" s="1">
        <f t="shared" si="2"/>
        <v>41274</v>
      </c>
      <c r="J36" s="1">
        <v>41274</v>
      </c>
      <c r="K36">
        <v>365.25</v>
      </c>
      <c r="M36" s="1">
        <f t="shared" si="3"/>
        <v>41274</v>
      </c>
      <c r="N36" s="1">
        <v>41274</v>
      </c>
      <c r="O36">
        <v>2073</v>
      </c>
      <c r="Q36" s="1">
        <f t="shared" si="4"/>
        <v>41274</v>
      </c>
      <c r="R36" s="1">
        <v>41274</v>
      </c>
      <c r="S36">
        <v>1.0394000000000001</v>
      </c>
      <c r="U36" s="1">
        <f t="shared" si="5"/>
        <v>41274</v>
      </c>
      <c r="V36" s="1">
        <v>41274</v>
      </c>
      <c r="W36">
        <v>1426.19</v>
      </c>
      <c r="Y36" s="1">
        <f t="shared" si="6"/>
        <v>41394</v>
      </c>
      <c r="Z36" s="1">
        <v>41394</v>
      </c>
      <c r="AA36">
        <v>65.650000000000006</v>
      </c>
      <c r="AC36" s="1">
        <f t="shared" si="7"/>
        <v>41274</v>
      </c>
      <c r="AD36" s="1">
        <v>41274</v>
      </c>
      <c r="AE36">
        <v>148.5</v>
      </c>
      <c r="AG36" s="1">
        <f t="shared" si="8"/>
        <v>41639</v>
      </c>
      <c r="AH36" s="1">
        <v>41639</v>
      </c>
      <c r="AI36">
        <v>56.5</v>
      </c>
    </row>
    <row r="37" spans="1:35" x14ac:dyDescent="0.25">
      <c r="A37" s="1">
        <f t="shared" si="0"/>
        <v>41305</v>
      </c>
      <c r="B37" s="1">
        <v>41305</v>
      </c>
      <c r="C37">
        <v>59.871899999999997</v>
      </c>
      <c r="E37" s="1">
        <f t="shared" si="1"/>
        <v>41943</v>
      </c>
      <c r="F37" s="1">
        <v>41943</v>
      </c>
      <c r="G37">
        <v>77.5</v>
      </c>
      <c r="I37" s="1">
        <f t="shared" si="2"/>
        <v>41305</v>
      </c>
      <c r="J37" s="1">
        <v>41305</v>
      </c>
      <c r="K37">
        <v>373.2</v>
      </c>
      <c r="M37" s="1">
        <f t="shared" si="3"/>
        <v>41305</v>
      </c>
      <c r="N37" s="1">
        <v>41305</v>
      </c>
      <c r="O37">
        <v>2091</v>
      </c>
      <c r="Q37" s="1">
        <f t="shared" si="4"/>
        <v>41305</v>
      </c>
      <c r="R37" s="1">
        <v>41305</v>
      </c>
      <c r="S37">
        <v>1.0425</v>
      </c>
      <c r="U37" s="1">
        <f t="shared" si="5"/>
        <v>41305</v>
      </c>
      <c r="V37" s="1">
        <v>41305</v>
      </c>
      <c r="W37">
        <v>1498.11</v>
      </c>
      <c r="Y37" s="1">
        <f t="shared" si="6"/>
        <v>41425</v>
      </c>
      <c r="Z37" s="1">
        <v>41425</v>
      </c>
      <c r="AA37">
        <v>67.03</v>
      </c>
      <c r="AC37" s="1">
        <f t="shared" si="7"/>
        <v>41305</v>
      </c>
      <c r="AD37" s="1">
        <v>41305</v>
      </c>
      <c r="AE37">
        <v>119.7</v>
      </c>
      <c r="AG37" s="1">
        <f t="shared" si="8"/>
        <v>41670</v>
      </c>
      <c r="AH37" s="1">
        <v>41670</v>
      </c>
      <c r="AI37">
        <v>52.5</v>
      </c>
    </row>
    <row r="38" spans="1:35" x14ac:dyDescent="0.25">
      <c r="A38" s="1">
        <f t="shared" si="0"/>
        <v>41333</v>
      </c>
      <c r="B38" s="1">
        <v>41333</v>
      </c>
      <c r="C38">
        <v>56.871400000000001</v>
      </c>
      <c r="E38" s="1">
        <f t="shared" si="1"/>
        <v>41973</v>
      </c>
      <c r="F38" s="1">
        <v>41973</v>
      </c>
      <c r="G38">
        <v>70.400000000000006</v>
      </c>
      <c r="I38" s="1">
        <f t="shared" si="2"/>
        <v>41333</v>
      </c>
      <c r="J38" s="1">
        <v>41333</v>
      </c>
      <c r="K38">
        <v>352.75</v>
      </c>
      <c r="M38" s="1">
        <f t="shared" si="3"/>
        <v>41333</v>
      </c>
      <c r="N38" s="1">
        <v>41333</v>
      </c>
      <c r="O38">
        <v>2005</v>
      </c>
      <c r="Q38" s="1">
        <f t="shared" si="4"/>
        <v>41333</v>
      </c>
      <c r="R38" s="1">
        <v>41333</v>
      </c>
      <c r="S38">
        <v>1.0215000000000001</v>
      </c>
      <c r="U38" s="1">
        <f t="shared" si="5"/>
        <v>41333</v>
      </c>
      <c r="V38" s="1">
        <v>41333</v>
      </c>
      <c r="W38">
        <v>1514.68</v>
      </c>
      <c r="Y38" s="1">
        <f t="shared" si="6"/>
        <v>41455</v>
      </c>
      <c r="Z38" s="1">
        <v>41455</v>
      </c>
      <c r="AA38">
        <v>64.66</v>
      </c>
      <c r="AC38" s="1">
        <f t="shared" si="7"/>
        <v>41333</v>
      </c>
      <c r="AD38" s="1">
        <v>41333</v>
      </c>
      <c r="AE38">
        <v>105.5</v>
      </c>
      <c r="AG38" s="1">
        <f t="shared" si="8"/>
        <v>41698</v>
      </c>
      <c r="AH38" s="1">
        <v>41698</v>
      </c>
      <c r="AI38">
        <v>55</v>
      </c>
    </row>
    <row r="39" spans="1:35" x14ac:dyDescent="0.25">
      <c r="A39" s="1">
        <f t="shared" si="0"/>
        <v>41364</v>
      </c>
      <c r="B39" s="1">
        <v>41362</v>
      </c>
      <c r="C39">
        <v>50.805999999999997</v>
      </c>
      <c r="E39" s="1">
        <f t="shared" si="1"/>
        <v>42004</v>
      </c>
      <c r="F39" s="1">
        <v>42004</v>
      </c>
      <c r="G39">
        <v>69.3</v>
      </c>
      <c r="I39" s="1">
        <f t="shared" si="2"/>
        <v>41364</v>
      </c>
      <c r="J39" s="1">
        <v>41362</v>
      </c>
      <c r="K39">
        <v>340.2</v>
      </c>
      <c r="M39" s="1">
        <f t="shared" si="3"/>
        <v>41364</v>
      </c>
      <c r="N39" s="1">
        <v>41362</v>
      </c>
      <c r="O39">
        <v>1904</v>
      </c>
      <c r="Q39" s="1">
        <f t="shared" si="4"/>
        <v>41364</v>
      </c>
      <c r="R39" s="1">
        <v>41362</v>
      </c>
      <c r="S39">
        <v>1.0419</v>
      </c>
      <c r="U39" s="1">
        <f t="shared" si="5"/>
        <v>41364</v>
      </c>
      <c r="V39" s="1">
        <v>41362</v>
      </c>
      <c r="W39">
        <v>1569.19</v>
      </c>
      <c r="Y39" s="1">
        <f t="shared" si="6"/>
        <v>41486</v>
      </c>
      <c r="Z39" s="1">
        <v>41486</v>
      </c>
      <c r="AA39">
        <v>65.47</v>
      </c>
      <c r="AC39" s="1">
        <f t="shared" si="7"/>
        <v>41364</v>
      </c>
      <c r="AD39" s="1">
        <v>41364</v>
      </c>
      <c r="AE39">
        <v>137.9</v>
      </c>
      <c r="AG39" s="1">
        <f t="shared" si="8"/>
        <v>41729</v>
      </c>
      <c r="AH39" s="1">
        <v>41729</v>
      </c>
      <c r="AI39">
        <v>55.9</v>
      </c>
    </row>
    <row r="40" spans="1:35" x14ac:dyDescent="0.25">
      <c r="A40" s="1">
        <f t="shared" si="0"/>
        <v>41394</v>
      </c>
      <c r="B40" s="1">
        <v>41394</v>
      </c>
      <c r="C40">
        <v>49.705199999999998</v>
      </c>
      <c r="E40" s="1">
        <f t="shared" si="1"/>
        <v>42035</v>
      </c>
      <c r="F40" s="1">
        <v>42035</v>
      </c>
      <c r="G40">
        <v>64.2</v>
      </c>
      <c r="I40" s="1">
        <f t="shared" si="2"/>
        <v>41394</v>
      </c>
      <c r="J40" s="1">
        <v>41394</v>
      </c>
      <c r="K40">
        <v>318.75</v>
      </c>
      <c r="M40" s="1">
        <f t="shared" si="3"/>
        <v>41394</v>
      </c>
      <c r="N40" s="1">
        <v>41394</v>
      </c>
      <c r="O40">
        <v>1870</v>
      </c>
      <c r="Q40" s="1">
        <f t="shared" si="4"/>
        <v>41394</v>
      </c>
      <c r="R40" s="1">
        <v>41394</v>
      </c>
      <c r="S40">
        <v>1.0370999999999999</v>
      </c>
      <c r="U40" s="1">
        <f t="shared" si="5"/>
        <v>41394</v>
      </c>
      <c r="V40" s="1">
        <v>41394</v>
      </c>
      <c r="W40">
        <v>1597.57</v>
      </c>
      <c r="Y40" s="1">
        <f t="shared" si="6"/>
        <v>41517</v>
      </c>
      <c r="Z40" s="1">
        <v>41517</v>
      </c>
      <c r="AA40">
        <v>66.28</v>
      </c>
      <c r="AC40" s="1">
        <f t="shared" si="7"/>
        <v>41394</v>
      </c>
      <c r="AD40" s="1">
        <v>41394</v>
      </c>
      <c r="AE40">
        <v>127.8</v>
      </c>
      <c r="AG40" s="1">
        <f t="shared" si="8"/>
        <v>41759</v>
      </c>
      <c r="AH40" s="1">
        <v>41759</v>
      </c>
      <c r="AI40">
        <v>56.6</v>
      </c>
    </row>
    <row r="41" spans="1:35" x14ac:dyDescent="0.25">
      <c r="A41" s="1">
        <f t="shared" si="0"/>
        <v>41425</v>
      </c>
      <c r="B41" s="1">
        <v>41425</v>
      </c>
      <c r="C41">
        <v>46.100900000000003</v>
      </c>
      <c r="E41" s="1">
        <f t="shared" si="1"/>
        <v>42063</v>
      </c>
      <c r="F41" s="1">
        <v>42063</v>
      </c>
      <c r="G41">
        <v>64.2</v>
      </c>
      <c r="I41" s="1">
        <f t="shared" si="2"/>
        <v>41425</v>
      </c>
      <c r="J41" s="1">
        <v>41425</v>
      </c>
      <c r="K41">
        <v>329.25</v>
      </c>
      <c r="M41" s="1">
        <f t="shared" si="3"/>
        <v>41425</v>
      </c>
      <c r="N41" s="1">
        <v>41425</v>
      </c>
      <c r="O41">
        <v>1906</v>
      </c>
      <c r="Q41" s="1">
        <f t="shared" si="4"/>
        <v>41425</v>
      </c>
      <c r="R41" s="1">
        <v>41425</v>
      </c>
      <c r="S41">
        <v>0.95709999999999995</v>
      </c>
      <c r="U41" s="1">
        <f t="shared" si="5"/>
        <v>41425</v>
      </c>
      <c r="V41" s="1">
        <v>41425</v>
      </c>
      <c r="W41">
        <v>1630.74</v>
      </c>
      <c r="Y41" s="1">
        <f t="shared" si="6"/>
        <v>41547</v>
      </c>
      <c r="Z41" s="1">
        <v>41547</v>
      </c>
      <c r="AA41">
        <v>65.42</v>
      </c>
      <c r="AC41" s="1">
        <f t="shared" si="7"/>
        <v>41425</v>
      </c>
      <c r="AD41" s="1">
        <v>41425</v>
      </c>
      <c r="AE41">
        <v>133.4</v>
      </c>
      <c r="AG41" s="1">
        <f t="shared" si="8"/>
        <v>41790</v>
      </c>
      <c r="AH41" s="1">
        <v>41790</v>
      </c>
      <c r="AI41">
        <v>55.7</v>
      </c>
    </row>
    <row r="42" spans="1:35" x14ac:dyDescent="0.25">
      <c r="A42" s="1">
        <f t="shared" si="0"/>
        <v>41455</v>
      </c>
      <c r="B42" s="1">
        <v>41453</v>
      </c>
      <c r="C42">
        <v>44.331099999999999</v>
      </c>
      <c r="E42" s="1">
        <f t="shared" si="1"/>
        <v>42094</v>
      </c>
      <c r="F42" s="1">
        <v>42094</v>
      </c>
      <c r="G42">
        <v>54.8</v>
      </c>
      <c r="I42" s="1">
        <f t="shared" si="2"/>
        <v>41455</v>
      </c>
      <c r="J42" s="1">
        <v>41453</v>
      </c>
      <c r="K42">
        <v>305.05</v>
      </c>
      <c r="M42" s="1">
        <f t="shared" si="3"/>
        <v>41455</v>
      </c>
      <c r="N42" s="1">
        <v>41453</v>
      </c>
      <c r="O42">
        <v>1773</v>
      </c>
      <c r="Q42" s="1">
        <f t="shared" si="4"/>
        <v>41455</v>
      </c>
      <c r="R42" s="1">
        <v>41453</v>
      </c>
      <c r="S42">
        <v>0.91379999999999995</v>
      </c>
      <c r="U42" s="1">
        <f t="shared" si="5"/>
        <v>41455</v>
      </c>
      <c r="V42" s="1">
        <v>41453</v>
      </c>
      <c r="W42">
        <v>1606.28</v>
      </c>
      <c r="Y42" s="1">
        <f t="shared" si="6"/>
        <v>41578</v>
      </c>
      <c r="Z42" s="1">
        <v>41578</v>
      </c>
      <c r="AA42">
        <v>65.08</v>
      </c>
      <c r="AC42" s="1">
        <f t="shared" si="7"/>
        <v>41455</v>
      </c>
      <c r="AD42" s="1">
        <v>41455</v>
      </c>
      <c r="AE42">
        <v>147.80000000000001</v>
      </c>
      <c r="AG42" s="1">
        <f t="shared" si="8"/>
        <v>41820</v>
      </c>
      <c r="AH42" s="1">
        <v>41820</v>
      </c>
      <c r="AI42">
        <v>55</v>
      </c>
    </row>
    <row r="43" spans="1:35" x14ac:dyDescent="0.25">
      <c r="A43" s="1">
        <f t="shared" si="0"/>
        <v>41486</v>
      </c>
      <c r="B43" s="1">
        <v>41486</v>
      </c>
      <c r="C43">
        <v>48.550600000000003</v>
      </c>
      <c r="E43" s="1">
        <f t="shared" si="1"/>
        <v>42124</v>
      </c>
      <c r="F43" s="1">
        <v>42124</v>
      </c>
      <c r="G43">
        <v>57.9</v>
      </c>
      <c r="I43" s="1">
        <f t="shared" si="2"/>
        <v>41486</v>
      </c>
      <c r="J43" s="1">
        <v>41486</v>
      </c>
      <c r="K43">
        <v>311.85000000000002</v>
      </c>
      <c r="M43" s="1">
        <f t="shared" si="3"/>
        <v>41486</v>
      </c>
      <c r="N43" s="1">
        <v>41486</v>
      </c>
      <c r="O43">
        <v>1804</v>
      </c>
      <c r="Q43" s="1">
        <f t="shared" si="4"/>
        <v>41486</v>
      </c>
      <c r="R43" s="1">
        <v>41486</v>
      </c>
      <c r="S43">
        <v>0.8982</v>
      </c>
      <c r="U43" s="1">
        <f t="shared" si="5"/>
        <v>41486</v>
      </c>
      <c r="V43" s="1">
        <v>41486</v>
      </c>
      <c r="W43">
        <v>1685.73</v>
      </c>
      <c r="Y43" s="1">
        <f t="shared" si="6"/>
        <v>41608</v>
      </c>
      <c r="Z43" s="1">
        <v>41608</v>
      </c>
      <c r="AA43">
        <v>60.88</v>
      </c>
      <c r="AC43" s="1">
        <f t="shared" si="7"/>
        <v>41486</v>
      </c>
      <c r="AD43" s="1">
        <v>41486</v>
      </c>
      <c r="AE43">
        <v>135.69999999999999</v>
      </c>
      <c r="AG43" s="1">
        <f t="shared" si="8"/>
        <v>41851</v>
      </c>
      <c r="AH43" s="1">
        <v>41851</v>
      </c>
      <c r="AI43">
        <v>55.1</v>
      </c>
    </row>
    <row r="44" spans="1:35" x14ac:dyDescent="0.25">
      <c r="A44" s="1">
        <f t="shared" si="0"/>
        <v>41517</v>
      </c>
      <c r="B44" s="1">
        <v>41516</v>
      </c>
      <c r="C44">
        <v>49.510399999999997</v>
      </c>
      <c r="E44" s="1">
        <f t="shared" si="1"/>
        <v>42155</v>
      </c>
      <c r="F44" s="1">
        <v>42155</v>
      </c>
      <c r="G44">
        <v>61.1</v>
      </c>
      <c r="I44" s="1">
        <f t="shared" si="2"/>
        <v>41517</v>
      </c>
      <c r="J44" s="1">
        <v>41516</v>
      </c>
      <c r="K44">
        <v>322.5</v>
      </c>
      <c r="M44" s="1">
        <f t="shared" si="3"/>
        <v>41517</v>
      </c>
      <c r="N44" s="1">
        <v>41516</v>
      </c>
      <c r="O44">
        <v>1813.5</v>
      </c>
      <c r="Q44" s="1">
        <f t="shared" si="4"/>
        <v>41517</v>
      </c>
      <c r="R44" s="1">
        <v>41516</v>
      </c>
      <c r="S44">
        <v>0.8901</v>
      </c>
      <c r="U44" s="1">
        <f t="shared" si="5"/>
        <v>41517</v>
      </c>
      <c r="V44" s="1">
        <v>41516</v>
      </c>
      <c r="W44">
        <v>1632.97</v>
      </c>
      <c r="Y44" s="1">
        <f t="shared" si="6"/>
        <v>41639</v>
      </c>
      <c r="Z44" s="1">
        <v>41639</v>
      </c>
      <c r="AA44">
        <v>62.35</v>
      </c>
      <c r="AC44" s="1">
        <f t="shared" si="7"/>
        <v>41517</v>
      </c>
      <c r="AD44" s="1">
        <v>41517</v>
      </c>
      <c r="AE44">
        <v>138.9</v>
      </c>
      <c r="AG44" s="1">
        <f t="shared" si="8"/>
        <v>41882</v>
      </c>
      <c r="AH44" s="1">
        <v>41882</v>
      </c>
      <c r="AI44">
        <v>56.3</v>
      </c>
    </row>
    <row r="45" spans="1:35" x14ac:dyDescent="0.25">
      <c r="A45" s="1">
        <f t="shared" si="0"/>
        <v>41547</v>
      </c>
      <c r="B45" s="1">
        <v>41547</v>
      </c>
      <c r="C45">
        <v>53.516500000000001</v>
      </c>
      <c r="E45" s="1">
        <f t="shared" si="1"/>
        <v>42185</v>
      </c>
      <c r="F45" s="1">
        <v>42185</v>
      </c>
      <c r="G45">
        <v>61.5</v>
      </c>
      <c r="I45" s="1">
        <f t="shared" si="2"/>
        <v>41547</v>
      </c>
      <c r="J45" s="1">
        <v>41547</v>
      </c>
      <c r="K45">
        <v>332.3</v>
      </c>
      <c r="M45" s="1">
        <f t="shared" si="3"/>
        <v>41547</v>
      </c>
      <c r="N45" s="1">
        <v>41547</v>
      </c>
      <c r="O45">
        <v>1845</v>
      </c>
      <c r="Q45" s="1">
        <f t="shared" si="4"/>
        <v>41547</v>
      </c>
      <c r="R45" s="1">
        <v>41547</v>
      </c>
      <c r="S45">
        <v>0.93169999999999997</v>
      </c>
      <c r="U45" s="1">
        <f t="shared" si="5"/>
        <v>41547</v>
      </c>
      <c r="V45" s="1">
        <v>41547</v>
      </c>
      <c r="W45">
        <v>1681.55</v>
      </c>
      <c r="Y45" s="1">
        <f t="shared" si="6"/>
        <v>41729</v>
      </c>
      <c r="Z45" s="1">
        <v>41729</v>
      </c>
      <c r="AA45">
        <v>70.25</v>
      </c>
      <c r="AC45" s="1">
        <f t="shared" si="7"/>
        <v>41547</v>
      </c>
      <c r="AD45" s="1">
        <v>41547</v>
      </c>
      <c r="AE45">
        <v>148.5</v>
      </c>
      <c r="AG45" s="1">
        <f t="shared" si="8"/>
        <v>41912</v>
      </c>
      <c r="AH45" s="1">
        <v>41912</v>
      </c>
      <c r="AI45">
        <v>55.7</v>
      </c>
    </row>
    <row r="46" spans="1:35" x14ac:dyDescent="0.25">
      <c r="A46" s="1">
        <f t="shared" si="0"/>
        <v>41578</v>
      </c>
      <c r="B46" s="1">
        <v>41578</v>
      </c>
      <c r="C46">
        <v>55.645699999999998</v>
      </c>
      <c r="E46" s="1">
        <f t="shared" si="1"/>
        <v>42216</v>
      </c>
      <c r="F46" s="1">
        <v>42216</v>
      </c>
      <c r="G46">
        <v>54.9</v>
      </c>
      <c r="I46" s="1">
        <f t="shared" si="2"/>
        <v>41578</v>
      </c>
      <c r="J46" s="1">
        <v>41578</v>
      </c>
      <c r="K46">
        <v>330.05</v>
      </c>
      <c r="M46" s="1">
        <f t="shared" si="3"/>
        <v>41578</v>
      </c>
      <c r="N46" s="1">
        <v>41578</v>
      </c>
      <c r="O46">
        <v>1859</v>
      </c>
      <c r="Q46" s="1">
        <f t="shared" si="4"/>
        <v>41578</v>
      </c>
      <c r="R46" s="1">
        <v>41578</v>
      </c>
      <c r="S46">
        <v>0.9456</v>
      </c>
      <c r="U46" s="1">
        <f t="shared" si="5"/>
        <v>41578</v>
      </c>
      <c r="V46" s="1">
        <v>41578</v>
      </c>
      <c r="W46">
        <v>1756.54</v>
      </c>
      <c r="Y46" s="1">
        <f t="shared" si="6"/>
        <v>41759</v>
      </c>
      <c r="Z46" s="1">
        <v>41759</v>
      </c>
      <c r="AA46">
        <v>68.83</v>
      </c>
      <c r="AC46" s="1">
        <f t="shared" si="7"/>
        <v>41578</v>
      </c>
      <c r="AD46" s="1">
        <v>41578</v>
      </c>
      <c r="AE46">
        <v>144.9</v>
      </c>
      <c r="AG46" s="1">
        <f t="shared" si="8"/>
        <v>41943</v>
      </c>
      <c r="AH46" s="1">
        <v>41943</v>
      </c>
      <c r="AI46">
        <v>56.2</v>
      </c>
    </row>
    <row r="47" spans="1:35" x14ac:dyDescent="0.25">
      <c r="A47" s="1">
        <f t="shared" si="0"/>
        <v>41608</v>
      </c>
      <c r="B47" s="1">
        <v>41607</v>
      </c>
      <c r="C47">
        <v>58.224899999999998</v>
      </c>
      <c r="E47" s="1">
        <f t="shared" si="1"/>
        <v>42247</v>
      </c>
      <c r="F47" s="1">
        <v>42247</v>
      </c>
      <c r="G47">
        <v>56.3</v>
      </c>
      <c r="I47" s="1">
        <f t="shared" si="2"/>
        <v>41608</v>
      </c>
      <c r="J47" s="1">
        <v>41607</v>
      </c>
      <c r="K47">
        <v>323.05</v>
      </c>
      <c r="M47" s="1">
        <f t="shared" si="3"/>
        <v>41608</v>
      </c>
      <c r="N47" s="1">
        <v>41607</v>
      </c>
      <c r="O47">
        <v>1755</v>
      </c>
      <c r="Q47" s="1">
        <f t="shared" si="4"/>
        <v>41608</v>
      </c>
      <c r="R47" s="1">
        <v>41607</v>
      </c>
      <c r="S47">
        <v>0.91080000000000005</v>
      </c>
      <c r="U47" s="1">
        <f t="shared" si="5"/>
        <v>41608</v>
      </c>
      <c r="V47" s="1">
        <v>41607</v>
      </c>
      <c r="W47">
        <v>1805.81</v>
      </c>
      <c r="Y47" s="1">
        <f t="shared" si="6"/>
        <v>41790</v>
      </c>
      <c r="Z47" s="1">
        <v>41790</v>
      </c>
      <c r="AA47">
        <v>70.430000000000007</v>
      </c>
      <c r="AC47" s="1">
        <f t="shared" si="7"/>
        <v>41608</v>
      </c>
      <c r="AD47" s="1">
        <v>41608</v>
      </c>
      <c r="AE47">
        <v>151.9</v>
      </c>
      <c r="AG47" s="1">
        <f t="shared" si="8"/>
        <v>41973</v>
      </c>
      <c r="AH47" s="1">
        <v>41973</v>
      </c>
      <c r="AI47">
        <v>56.3</v>
      </c>
    </row>
    <row r="48" spans="1:35" x14ac:dyDescent="0.25">
      <c r="A48" s="1">
        <f t="shared" si="0"/>
        <v>41639</v>
      </c>
      <c r="B48" s="1">
        <v>41639</v>
      </c>
      <c r="C48">
        <v>61.934600000000003</v>
      </c>
      <c r="E48" s="1">
        <f t="shared" si="1"/>
        <v>42277</v>
      </c>
      <c r="F48" s="1">
        <v>42277</v>
      </c>
      <c r="G48">
        <v>57.2</v>
      </c>
      <c r="I48" s="1">
        <f t="shared" si="2"/>
        <v>41639</v>
      </c>
      <c r="J48" s="1">
        <v>41639</v>
      </c>
      <c r="K48">
        <v>339.65</v>
      </c>
      <c r="M48" s="1">
        <f t="shared" si="3"/>
        <v>41639</v>
      </c>
      <c r="N48" s="1">
        <v>41639</v>
      </c>
      <c r="O48">
        <v>1800.25</v>
      </c>
      <c r="Q48" s="1">
        <f t="shared" si="4"/>
        <v>41639</v>
      </c>
      <c r="R48" s="1">
        <v>41639</v>
      </c>
      <c r="S48">
        <v>0.89170000000000005</v>
      </c>
      <c r="U48" s="1">
        <f t="shared" si="5"/>
        <v>41639</v>
      </c>
      <c r="V48" s="1">
        <v>41639</v>
      </c>
      <c r="W48">
        <v>1848.36</v>
      </c>
      <c r="Y48" s="1">
        <f t="shared" si="6"/>
        <v>41820</v>
      </c>
      <c r="Z48" s="1">
        <v>41820</v>
      </c>
      <c r="AA48">
        <v>69.290000000000006</v>
      </c>
      <c r="AC48" s="1">
        <f t="shared" si="7"/>
        <v>41639</v>
      </c>
      <c r="AD48" s="1">
        <v>41639</v>
      </c>
      <c r="AE48">
        <v>162.9</v>
      </c>
      <c r="AG48" s="1">
        <f t="shared" si="8"/>
        <v>42004</v>
      </c>
      <c r="AH48" s="1">
        <v>42004</v>
      </c>
      <c r="AI48">
        <v>55.7</v>
      </c>
    </row>
    <row r="49" spans="1:35" x14ac:dyDescent="0.25">
      <c r="A49" s="1">
        <f t="shared" si="0"/>
        <v>41670</v>
      </c>
      <c r="B49" s="1">
        <v>41670</v>
      </c>
      <c r="C49">
        <v>58.334699999999998</v>
      </c>
      <c r="E49" s="1">
        <f t="shared" si="1"/>
        <v>42308</v>
      </c>
      <c r="F49" s="1">
        <v>42308</v>
      </c>
      <c r="G49">
        <v>50.6</v>
      </c>
      <c r="I49" s="1">
        <f t="shared" si="2"/>
        <v>41670</v>
      </c>
      <c r="J49" s="1">
        <v>41670</v>
      </c>
      <c r="K49">
        <v>319.7</v>
      </c>
      <c r="M49" s="1">
        <f t="shared" si="3"/>
        <v>41670</v>
      </c>
      <c r="N49" s="1">
        <v>41670</v>
      </c>
      <c r="O49">
        <v>1706</v>
      </c>
      <c r="Q49" s="1">
        <f t="shared" si="4"/>
        <v>41670</v>
      </c>
      <c r="R49" s="1">
        <v>41670</v>
      </c>
      <c r="S49">
        <v>0.87560000000000004</v>
      </c>
      <c r="U49" s="1">
        <f t="shared" si="5"/>
        <v>41670</v>
      </c>
      <c r="V49" s="1">
        <v>41670</v>
      </c>
      <c r="W49">
        <v>1782.59</v>
      </c>
      <c r="Y49" s="1">
        <f t="shared" si="6"/>
        <v>41851</v>
      </c>
      <c r="Z49" s="1">
        <v>41851</v>
      </c>
      <c r="AA49">
        <v>68.319999999999993</v>
      </c>
      <c r="AC49" s="1">
        <f t="shared" si="7"/>
        <v>41670</v>
      </c>
      <c r="AD49" s="1">
        <v>41670</v>
      </c>
      <c r="AE49">
        <v>129.80000000000001</v>
      </c>
      <c r="AG49" s="1">
        <f t="shared" si="8"/>
        <v>42035</v>
      </c>
      <c r="AH49" s="1">
        <v>42035</v>
      </c>
      <c r="AI49">
        <v>53.9</v>
      </c>
    </row>
    <row r="50" spans="1:35" x14ac:dyDescent="0.25">
      <c r="A50" s="1">
        <f t="shared" si="0"/>
        <v>41698</v>
      </c>
      <c r="B50" s="1">
        <v>41698</v>
      </c>
      <c r="C50">
        <v>62.889499999999998</v>
      </c>
      <c r="E50" s="1">
        <f t="shared" si="1"/>
        <v>42338</v>
      </c>
      <c r="F50" s="1">
        <v>42338</v>
      </c>
      <c r="G50">
        <v>43.3</v>
      </c>
      <c r="I50" s="1">
        <f t="shared" si="2"/>
        <v>41698</v>
      </c>
      <c r="J50" s="1">
        <v>41698</v>
      </c>
      <c r="K50">
        <v>323.85000000000002</v>
      </c>
      <c r="M50" s="1">
        <f t="shared" si="3"/>
        <v>41698</v>
      </c>
      <c r="N50" s="1">
        <v>41698</v>
      </c>
      <c r="O50">
        <v>1754</v>
      </c>
      <c r="Q50" s="1">
        <f t="shared" si="4"/>
        <v>41698</v>
      </c>
      <c r="R50" s="1">
        <v>41698</v>
      </c>
      <c r="S50">
        <v>0.89239999999999997</v>
      </c>
      <c r="U50" s="1">
        <f t="shared" si="5"/>
        <v>41698</v>
      </c>
      <c r="V50" s="1">
        <v>41698</v>
      </c>
      <c r="W50">
        <v>1859.45</v>
      </c>
      <c r="Y50" s="1">
        <f t="shared" si="6"/>
        <v>41882</v>
      </c>
      <c r="Z50" s="1">
        <v>41882</v>
      </c>
      <c r="AA50">
        <v>68.91</v>
      </c>
      <c r="AC50" s="1">
        <f t="shared" si="7"/>
        <v>41698</v>
      </c>
      <c r="AD50" s="1">
        <v>41698</v>
      </c>
      <c r="AE50">
        <v>114.7</v>
      </c>
      <c r="AG50" s="1">
        <f t="shared" si="8"/>
        <v>42063</v>
      </c>
      <c r="AH50" s="1">
        <v>42063</v>
      </c>
      <c r="AI50">
        <v>53</v>
      </c>
    </row>
    <row r="51" spans="1:35" x14ac:dyDescent="0.25">
      <c r="A51" s="1">
        <f t="shared" si="0"/>
        <v>41729</v>
      </c>
      <c r="B51" s="1">
        <v>41729</v>
      </c>
      <c r="C51">
        <v>62.500300000000003</v>
      </c>
      <c r="E51" s="1">
        <f t="shared" si="1"/>
        <v>42369</v>
      </c>
      <c r="F51" s="1">
        <v>42369</v>
      </c>
      <c r="G51">
        <v>43.4</v>
      </c>
      <c r="I51" s="1">
        <f t="shared" si="2"/>
        <v>41729</v>
      </c>
      <c r="J51" s="1">
        <v>41729</v>
      </c>
      <c r="K51">
        <v>302.55</v>
      </c>
      <c r="M51" s="1">
        <f t="shared" si="3"/>
        <v>41729</v>
      </c>
      <c r="N51" s="1">
        <v>41729</v>
      </c>
      <c r="O51">
        <v>1785</v>
      </c>
      <c r="Q51" s="1">
        <f t="shared" si="4"/>
        <v>41729</v>
      </c>
      <c r="R51" s="1">
        <v>41729</v>
      </c>
      <c r="S51">
        <v>0.9264</v>
      </c>
      <c r="U51" s="1">
        <f t="shared" si="5"/>
        <v>41729</v>
      </c>
      <c r="V51" s="1">
        <v>41729</v>
      </c>
      <c r="W51">
        <v>1872.34</v>
      </c>
      <c r="Y51" s="1">
        <f t="shared" si="6"/>
        <v>41912</v>
      </c>
      <c r="Z51" s="1">
        <v>41912</v>
      </c>
      <c r="AA51">
        <v>67.540000000000006</v>
      </c>
      <c r="AC51" s="1">
        <f t="shared" si="7"/>
        <v>41729</v>
      </c>
      <c r="AD51" s="1">
        <v>41729</v>
      </c>
      <c r="AE51">
        <v>150</v>
      </c>
      <c r="AG51" s="1">
        <f t="shared" si="8"/>
        <v>42094</v>
      </c>
      <c r="AH51" s="1">
        <v>42094</v>
      </c>
      <c r="AI51">
        <v>52.1</v>
      </c>
    </row>
    <row r="52" spans="1:35" x14ac:dyDescent="0.25">
      <c r="A52" s="1">
        <f t="shared" si="0"/>
        <v>41759</v>
      </c>
      <c r="B52" s="1">
        <v>41759</v>
      </c>
      <c r="C52">
        <v>60.776299999999999</v>
      </c>
      <c r="E52" s="1">
        <f t="shared" si="1"/>
        <v>42400</v>
      </c>
      <c r="F52" s="1">
        <v>42400</v>
      </c>
      <c r="G52">
        <v>41.4</v>
      </c>
      <c r="I52" s="1">
        <f t="shared" si="2"/>
        <v>41759</v>
      </c>
      <c r="J52" s="1">
        <v>41759</v>
      </c>
      <c r="K52">
        <v>302.95</v>
      </c>
      <c r="M52" s="1">
        <f t="shared" si="3"/>
        <v>41759</v>
      </c>
      <c r="N52" s="1">
        <v>41759</v>
      </c>
      <c r="O52">
        <v>1800</v>
      </c>
      <c r="Q52" s="1">
        <f t="shared" si="4"/>
        <v>41759</v>
      </c>
      <c r="R52" s="1">
        <v>41759</v>
      </c>
      <c r="S52">
        <v>0.92869999999999997</v>
      </c>
      <c r="U52" s="1">
        <f t="shared" si="5"/>
        <v>41759</v>
      </c>
      <c r="V52" s="1">
        <v>41759</v>
      </c>
      <c r="W52">
        <v>1883.95</v>
      </c>
      <c r="Y52" s="1">
        <f t="shared" si="6"/>
        <v>41943</v>
      </c>
      <c r="Z52" s="1">
        <v>41943</v>
      </c>
      <c r="AA52">
        <v>67.52</v>
      </c>
      <c r="AC52" s="1">
        <f t="shared" si="7"/>
        <v>41759</v>
      </c>
      <c r="AD52" s="1">
        <v>41759</v>
      </c>
      <c r="AE52">
        <v>139</v>
      </c>
      <c r="AG52" s="1">
        <f t="shared" si="8"/>
        <v>42124</v>
      </c>
      <c r="AH52" s="1">
        <v>42124</v>
      </c>
      <c r="AI52">
        <v>51.9</v>
      </c>
    </row>
    <row r="53" spans="1:35" x14ac:dyDescent="0.25">
      <c r="A53" s="1">
        <f t="shared" si="0"/>
        <v>41790</v>
      </c>
      <c r="B53" s="1">
        <v>41789</v>
      </c>
      <c r="C53">
        <v>57.518599999999999</v>
      </c>
      <c r="E53" s="1">
        <f t="shared" si="1"/>
        <v>42429</v>
      </c>
      <c r="F53" s="1">
        <v>42429</v>
      </c>
      <c r="G53">
        <v>46.4</v>
      </c>
      <c r="I53" s="1">
        <f t="shared" si="2"/>
        <v>41790</v>
      </c>
      <c r="J53" s="1">
        <v>41789</v>
      </c>
      <c r="K53">
        <v>312.35000000000002</v>
      </c>
      <c r="M53" s="1">
        <f t="shared" si="3"/>
        <v>41790</v>
      </c>
      <c r="N53" s="1">
        <v>41789</v>
      </c>
      <c r="O53">
        <v>1838</v>
      </c>
      <c r="Q53" s="1">
        <f t="shared" si="4"/>
        <v>41790</v>
      </c>
      <c r="R53" s="1">
        <v>41789</v>
      </c>
      <c r="S53">
        <v>0.93100000000000005</v>
      </c>
      <c r="U53" s="1">
        <f t="shared" si="5"/>
        <v>41790</v>
      </c>
      <c r="V53" s="1">
        <v>41789</v>
      </c>
      <c r="W53">
        <v>1923.57</v>
      </c>
      <c r="Y53" s="1">
        <f t="shared" si="6"/>
        <v>41973</v>
      </c>
      <c r="Z53" s="1">
        <v>41973</v>
      </c>
      <c r="AA53">
        <v>63.3</v>
      </c>
      <c r="AC53" s="1">
        <f t="shared" si="7"/>
        <v>41790</v>
      </c>
      <c r="AD53" s="1">
        <v>41790</v>
      </c>
      <c r="AE53">
        <v>145.19999999999999</v>
      </c>
      <c r="AG53" s="1">
        <f t="shared" si="8"/>
        <v>42155</v>
      </c>
      <c r="AH53" s="1">
        <v>42155</v>
      </c>
      <c r="AI53">
        <v>52.9</v>
      </c>
    </row>
    <row r="54" spans="1:35" x14ac:dyDescent="0.25">
      <c r="A54" s="1">
        <f t="shared" si="0"/>
        <v>41820</v>
      </c>
      <c r="B54" s="1">
        <v>41820</v>
      </c>
      <c r="C54">
        <v>60.765099999999997</v>
      </c>
      <c r="E54" s="1">
        <f t="shared" si="1"/>
        <v>42460</v>
      </c>
      <c r="F54" s="1">
        <v>42460</v>
      </c>
      <c r="G54">
        <v>53.2</v>
      </c>
      <c r="I54" s="1">
        <f t="shared" si="2"/>
        <v>41820</v>
      </c>
      <c r="J54" s="1">
        <v>41820</v>
      </c>
      <c r="K54">
        <v>318.8</v>
      </c>
      <c r="M54" s="1">
        <f t="shared" si="3"/>
        <v>41820</v>
      </c>
      <c r="N54" s="1">
        <v>41820</v>
      </c>
      <c r="O54">
        <v>1891</v>
      </c>
      <c r="Q54" s="1">
        <f t="shared" si="4"/>
        <v>41820</v>
      </c>
      <c r="R54" s="1">
        <v>41820</v>
      </c>
      <c r="S54">
        <v>0.94330000000000003</v>
      </c>
      <c r="U54" s="1">
        <f t="shared" si="5"/>
        <v>41820</v>
      </c>
      <c r="V54" s="1">
        <v>41820</v>
      </c>
      <c r="W54">
        <v>1960.23</v>
      </c>
      <c r="Y54" s="1">
        <f t="shared" si="6"/>
        <v>42004</v>
      </c>
      <c r="Z54" s="1">
        <v>42004</v>
      </c>
      <c r="AA54">
        <v>68.09</v>
      </c>
      <c r="AC54" s="1">
        <f t="shared" si="7"/>
        <v>41820</v>
      </c>
      <c r="AD54" s="1">
        <v>41820</v>
      </c>
      <c r="AE54">
        <v>161.4</v>
      </c>
      <c r="AG54" s="1">
        <f t="shared" si="8"/>
        <v>42185</v>
      </c>
      <c r="AH54" s="1">
        <v>42185</v>
      </c>
      <c r="AI54">
        <v>52.5</v>
      </c>
    </row>
    <row r="55" spans="1:35" x14ac:dyDescent="0.25">
      <c r="A55" s="1">
        <f t="shared" si="0"/>
        <v>41851</v>
      </c>
      <c r="B55" s="1">
        <v>41851</v>
      </c>
      <c r="C55">
        <v>64.134699999999995</v>
      </c>
      <c r="E55" s="1">
        <f t="shared" si="1"/>
        <v>42490</v>
      </c>
      <c r="F55" s="1">
        <v>42490</v>
      </c>
      <c r="G55">
        <v>65.8</v>
      </c>
      <c r="I55" s="1">
        <f t="shared" si="2"/>
        <v>41851</v>
      </c>
      <c r="J55" s="1">
        <v>41851</v>
      </c>
      <c r="K55">
        <v>323.10000000000002</v>
      </c>
      <c r="M55" s="1">
        <f t="shared" si="3"/>
        <v>41851</v>
      </c>
      <c r="N55" s="1">
        <v>41851</v>
      </c>
      <c r="O55">
        <v>1988</v>
      </c>
      <c r="Q55" s="1">
        <f t="shared" si="4"/>
        <v>41851</v>
      </c>
      <c r="R55" s="1">
        <v>41851</v>
      </c>
      <c r="S55">
        <v>0.92949999999999999</v>
      </c>
      <c r="U55" s="1">
        <f t="shared" si="5"/>
        <v>41851</v>
      </c>
      <c r="V55" s="1">
        <v>41851</v>
      </c>
      <c r="W55">
        <v>1930.67</v>
      </c>
      <c r="Y55" s="1">
        <f t="shared" si="6"/>
        <v>42094</v>
      </c>
      <c r="Z55" s="1">
        <v>42094</v>
      </c>
      <c r="AA55">
        <v>69.48</v>
      </c>
      <c r="AC55" s="1">
        <f t="shared" si="7"/>
        <v>41851</v>
      </c>
      <c r="AD55" s="1">
        <v>41851</v>
      </c>
      <c r="AE55">
        <v>148</v>
      </c>
      <c r="AG55" s="1">
        <f t="shared" si="8"/>
        <v>42216</v>
      </c>
      <c r="AH55" s="1">
        <v>42216</v>
      </c>
      <c r="AI55">
        <v>52</v>
      </c>
    </row>
    <row r="56" spans="1:35" x14ac:dyDescent="0.25">
      <c r="A56" s="1">
        <f t="shared" si="0"/>
        <v>41882</v>
      </c>
      <c r="B56" s="1">
        <v>41880</v>
      </c>
      <c r="C56">
        <v>61.136899999999997</v>
      </c>
      <c r="E56" s="1">
        <f t="shared" si="1"/>
        <v>42521</v>
      </c>
      <c r="F56" s="1">
        <v>42521</v>
      </c>
      <c r="G56">
        <v>47.2</v>
      </c>
      <c r="I56" s="1">
        <f t="shared" si="2"/>
        <v>41882</v>
      </c>
      <c r="J56" s="1">
        <v>41880</v>
      </c>
      <c r="K56">
        <v>313.5</v>
      </c>
      <c r="M56" s="1">
        <f t="shared" si="3"/>
        <v>41882</v>
      </c>
      <c r="N56" s="1">
        <v>41880</v>
      </c>
      <c r="O56">
        <v>2096.5</v>
      </c>
      <c r="Q56" s="1">
        <f t="shared" si="4"/>
        <v>41882</v>
      </c>
      <c r="R56" s="1">
        <v>41880</v>
      </c>
      <c r="S56">
        <v>0.93389999999999995</v>
      </c>
      <c r="U56" s="1">
        <f t="shared" si="5"/>
        <v>41882</v>
      </c>
      <c r="V56" s="1">
        <v>41880</v>
      </c>
      <c r="W56">
        <v>2003.37</v>
      </c>
      <c r="Y56" s="1">
        <f t="shared" si="6"/>
        <v>42124</v>
      </c>
      <c r="Z56" s="1">
        <v>42124</v>
      </c>
      <c r="AA56">
        <v>68.91</v>
      </c>
      <c r="AC56" s="1">
        <f t="shared" si="7"/>
        <v>41882</v>
      </c>
      <c r="AD56" s="1">
        <v>41882</v>
      </c>
      <c r="AE56">
        <v>148.4</v>
      </c>
      <c r="AG56" s="1">
        <f t="shared" si="8"/>
        <v>42247</v>
      </c>
      <c r="AH56" s="1">
        <v>42247</v>
      </c>
      <c r="AI56">
        <v>50.2</v>
      </c>
    </row>
    <row r="57" spans="1:35" x14ac:dyDescent="0.25">
      <c r="A57" s="1">
        <f t="shared" si="0"/>
        <v>41912</v>
      </c>
      <c r="B57" s="1">
        <v>41912</v>
      </c>
      <c r="C57">
        <v>55.949300000000001</v>
      </c>
      <c r="E57" s="1">
        <f t="shared" si="1"/>
        <v>42551</v>
      </c>
      <c r="F57" s="1">
        <v>42551</v>
      </c>
      <c r="G57">
        <v>53.6</v>
      </c>
      <c r="I57" s="1">
        <f t="shared" si="2"/>
        <v>41912</v>
      </c>
      <c r="J57" s="1">
        <v>41912</v>
      </c>
      <c r="K57">
        <v>300.75</v>
      </c>
      <c r="M57" s="1">
        <f t="shared" si="3"/>
        <v>41912</v>
      </c>
      <c r="N57" s="1">
        <v>41912</v>
      </c>
      <c r="O57">
        <v>1960</v>
      </c>
      <c r="Q57" s="1">
        <f t="shared" si="4"/>
        <v>41912</v>
      </c>
      <c r="R57" s="1">
        <v>41912</v>
      </c>
      <c r="S57">
        <v>0.87470000000000003</v>
      </c>
      <c r="U57" s="1">
        <f t="shared" si="5"/>
        <v>41912</v>
      </c>
      <c r="V57" s="1">
        <v>41912</v>
      </c>
      <c r="W57">
        <v>1972.29</v>
      </c>
      <c r="Y57" s="1">
        <f t="shared" si="6"/>
        <v>42155</v>
      </c>
      <c r="Z57" s="1">
        <v>42155</v>
      </c>
      <c r="AA57">
        <v>69.95</v>
      </c>
      <c r="AC57" s="1">
        <f t="shared" si="7"/>
        <v>41912</v>
      </c>
      <c r="AD57" s="1">
        <v>41912</v>
      </c>
      <c r="AE57">
        <v>160.4</v>
      </c>
      <c r="AG57" s="1">
        <f t="shared" si="8"/>
        <v>42277</v>
      </c>
      <c r="AH57" s="1">
        <v>42277</v>
      </c>
      <c r="AI57">
        <v>50.1</v>
      </c>
    </row>
    <row r="58" spans="1:35" x14ac:dyDescent="0.25">
      <c r="A58" s="1">
        <f t="shared" si="0"/>
        <v>41943</v>
      </c>
      <c r="B58" s="1">
        <v>41943</v>
      </c>
      <c r="C58">
        <v>54.572699999999998</v>
      </c>
      <c r="E58" s="1">
        <f t="shared" si="1"/>
        <v>42582</v>
      </c>
      <c r="F58" s="1">
        <v>42582</v>
      </c>
      <c r="G58">
        <v>58.3</v>
      </c>
      <c r="I58" s="1">
        <f t="shared" si="2"/>
        <v>41943</v>
      </c>
      <c r="J58" s="1">
        <v>41943</v>
      </c>
      <c r="K58">
        <v>304.7</v>
      </c>
      <c r="M58" s="1">
        <f t="shared" si="3"/>
        <v>41943</v>
      </c>
      <c r="N58" s="1">
        <v>41943</v>
      </c>
      <c r="O58">
        <v>2039</v>
      </c>
      <c r="Q58" s="1">
        <f t="shared" si="4"/>
        <v>41943</v>
      </c>
      <c r="R58" s="1">
        <v>41943</v>
      </c>
      <c r="S58">
        <v>0.87980000000000003</v>
      </c>
      <c r="U58" s="1">
        <f t="shared" si="5"/>
        <v>41943</v>
      </c>
      <c r="V58" s="1">
        <v>41943</v>
      </c>
      <c r="W58">
        <v>2018.05</v>
      </c>
      <c r="Y58" s="1">
        <f t="shared" si="6"/>
        <v>42185</v>
      </c>
      <c r="Z58" s="1">
        <v>42185</v>
      </c>
      <c r="AA58">
        <v>68.95</v>
      </c>
      <c r="AC58" s="1">
        <f t="shared" si="7"/>
        <v>41943</v>
      </c>
      <c r="AD58" s="1">
        <v>41943</v>
      </c>
      <c r="AE58">
        <v>156.1</v>
      </c>
      <c r="AG58" s="1">
        <f t="shared" si="8"/>
        <v>42308</v>
      </c>
      <c r="AH58" s="1">
        <v>42308</v>
      </c>
      <c r="AI58">
        <v>49.1</v>
      </c>
    </row>
    <row r="59" spans="1:35" x14ac:dyDescent="0.25">
      <c r="A59" s="1">
        <f t="shared" si="0"/>
        <v>41973</v>
      </c>
      <c r="B59" s="1">
        <v>41971</v>
      </c>
      <c r="C59">
        <v>53.014200000000002</v>
      </c>
      <c r="E59" s="1">
        <f t="shared" si="1"/>
        <v>42613</v>
      </c>
      <c r="F59" s="1">
        <v>42613</v>
      </c>
      <c r="G59">
        <v>57.3</v>
      </c>
      <c r="I59" s="1">
        <f t="shared" si="2"/>
        <v>41973</v>
      </c>
      <c r="J59" s="1">
        <v>41971</v>
      </c>
      <c r="K59">
        <v>286</v>
      </c>
      <c r="M59" s="1">
        <f t="shared" si="3"/>
        <v>41973</v>
      </c>
      <c r="N59" s="1">
        <v>41971</v>
      </c>
      <c r="O59">
        <v>2004</v>
      </c>
      <c r="Q59" s="1">
        <f t="shared" si="4"/>
        <v>41973</v>
      </c>
      <c r="R59" s="1">
        <v>41971</v>
      </c>
      <c r="S59">
        <v>0.85060000000000002</v>
      </c>
      <c r="U59" s="1">
        <f t="shared" si="5"/>
        <v>41973</v>
      </c>
      <c r="V59" s="1">
        <v>41971</v>
      </c>
      <c r="W59">
        <v>2067.56</v>
      </c>
      <c r="Y59" s="1">
        <f t="shared" si="6"/>
        <v>42216</v>
      </c>
      <c r="Z59" s="1">
        <v>42216</v>
      </c>
      <c r="AA59">
        <v>65.84</v>
      </c>
      <c r="AC59" s="1">
        <f t="shared" si="7"/>
        <v>41973</v>
      </c>
      <c r="AD59" s="1">
        <v>41973</v>
      </c>
      <c r="AE59">
        <v>162.9</v>
      </c>
      <c r="AG59" s="1">
        <f t="shared" si="8"/>
        <v>42338</v>
      </c>
      <c r="AH59" s="1">
        <v>42338</v>
      </c>
      <c r="AI59">
        <v>49.1</v>
      </c>
    </row>
    <row r="60" spans="1:35" x14ac:dyDescent="0.25">
      <c r="A60" s="1">
        <f t="shared" si="0"/>
        <v>42004</v>
      </c>
      <c r="B60" s="1">
        <v>42004</v>
      </c>
      <c r="C60">
        <v>52.399799999999999</v>
      </c>
      <c r="E60" s="1">
        <f t="shared" si="1"/>
        <v>42643</v>
      </c>
      <c r="F60" s="1">
        <v>42643</v>
      </c>
      <c r="G60">
        <v>57.77</v>
      </c>
      <c r="I60" s="1">
        <f t="shared" si="2"/>
        <v>42004</v>
      </c>
      <c r="J60" s="1">
        <v>42004</v>
      </c>
      <c r="K60">
        <v>282.55</v>
      </c>
      <c r="M60" s="1">
        <f t="shared" si="3"/>
        <v>42004</v>
      </c>
      <c r="N60" s="1">
        <v>42004</v>
      </c>
      <c r="O60">
        <v>1852.5</v>
      </c>
      <c r="Q60" s="1">
        <f t="shared" si="4"/>
        <v>42004</v>
      </c>
      <c r="R60" s="1">
        <v>42004</v>
      </c>
      <c r="S60">
        <v>0.8175</v>
      </c>
      <c r="U60" s="1">
        <f t="shared" si="5"/>
        <v>42004</v>
      </c>
      <c r="V60" s="1">
        <v>42004</v>
      </c>
      <c r="W60">
        <v>2058.9</v>
      </c>
      <c r="Y60" s="1">
        <f t="shared" si="6"/>
        <v>42247</v>
      </c>
      <c r="Z60" s="1">
        <v>42247</v>
      </c>
      <c r="AA60">
        <v>66.94</v>
      </c>
      <c r="AC60" s="1">
        <f t="shared" si="7"/>
        <v>42004</v>
      </c>
      <c r="AD60" s="1">
        <v>42004</v>
      </c>
      <c r="AE60">
        <v>175.8</v>
      </c>
      <c r="AG60" s="1">
        <f t="shared" si="8"/>
        <v>42369</v>
      </c>
      <c r="AH60" s="1">
        <v>42369</v>
      </c>
      <c r="AI60">
        <v>48.7</v>
      </c>
    </row>
    <row r="61" spans="1:35" x14ac:dyDescent="0.25">
      <c r="A61" s="1">
        <f t="shared" si="0"/>
        <v>42035</v>
      </c>
      <c r="B61" s="1">
        <v>42034</v>
      </c>
      <c r="C61">
        <v>50.2042</v>
      </c>
      <c r="E61" s="1">
        <f t="shared" si="1"/>
        <v>42674</v>
      </c>
      <c r="F61" s="1">
        <v>42674</v>
      </c>
      <c r="G61">
        <v>62.38</v>
      </c>
      <c r="I61" s="1">
        <f t="shared" si="2"/>
        <v>42035</v>
      </c>
      <c r="J61" s="1">
        <v>42034</v>
      </c>
      <c r="K61">
        <v>249.45</v>
      </c>
      <c r="M61" s="1">
        <f t="shared" si="3"/>
        <v>42035</v>
      </c>
      <c r="N61" s="1">
        <v>42034</v>
      </c>
      <c r="O61">
        <v>1864</v>
      </c>
      <c r="Q61" s="1">
        <f t="shared" si="4"/>
        <v>42035</v>
      </c>
      <c r="R61" s="1">
        <v>42034</v>
      </c>
      <c r="S61">
        <v>0.7762</v>
      </c>
      <c r="U61" s="1">
        <f t="shared" si="5"/>
        <v>42035</v>
      </c>
      <c r="V61" s="1">
        <v>42034</v>
      </c>
      <c r="W61">
        <v>1994.99</v>
      </c>
      <c r="Y61" s="1">
        <f t="shared" si="6"/>
        <v>42277</v>
      </c>
      <c r="Z61" s="1">
        <v>42277</v>
      </c>
      <c r="AA61">
        <v>66.12</v>
      </c>
      <c r="AC61" s="1">
        <f t="shared" si="7"/>
        <v>42035</v>
      </c>
      <c r="AD61" s="1">
        <v>42035</v>
      </c>
      <c r="AE61">
        <v>142.30000000000001</v>
      </c>
      <c r="AG61" s="1">
        <f t="shared" si="8"/>
        <v>42400</v>
      </c>
      <c r="AH61" s="1">
        <v>42400</v>
      </c>
      <c r="AI61">
        <v>47.6</v>
      </c>
    </row>
    <row r="62" spans="1:35" x14ac:dyDescent="0.25">
      <c r="A62" s="1">
        <f t="shared" si="0"/>
        <v>42063</v>
      </c>
      <c r="B62" s="1">
        <v>42062</v>
      </c>
      <c r="C62">
        <v>56.119900000000001</v>
      </c>
      <c r="E62" s="1">
        <f t="shared" si="1"/>
        <v>42704</v>
      </c>
      <c r="F62" s="1">
        <v>42704</v>
      </c>
      <c r="G62">
        <v>79.14</v>
      </c>
      <c r="I62" s="1">
        <f t="shared" si="2"/>
        <v>42063</v>
      </c>
      <c r="J62" s="1">
        <v>42062</v>
      </c>
      <c r="K62">
        <v>271.60000000000002</v>
      </c>
      <c r="M62" s="1">
        <f t="shared" si="3"/>
        <v>42063</v>
      </c>
      <c r="N62" s="1">
        <v>42062</v>
      </c>
      <c r="O62">
        <v>1815</v>
      </c>
      <c r="Q62" s="1">
        <f t="shared" si="4"/>
        <v>42063</v>
      </c>
      <c r="R62" s="1">
        <v>42062</v>
      </c>
      <c r="S62">
        <v>0.78080000000000005</v>
      </c>
      <c r="U62" s="1">
        <f t="shared" si="5"/>
        <v>42063</v>
      </c>
      <c r="V62" s="1">
        <v>42062</v>
      </c>
      <c r="W62">
        <v>2104.5</v>
      </c>
      <c r="Y62" s="1">
        <f t="shared" si="6"/>
        <v>42308</v>
      </c>
      <c r="Z62" s="1">
        <v>42308</v>
      </c>
      <c r="AA62">
        <v>66.12</v>
      </c>
      <c r="AC62" s="1">
        <f t="shared" si="7"/>
        <v>42063</v>
      </c>
      <c r="AD62" s="1">
        <v>42063</v>
      </c>
      <c r="AE62">
        <v>118.9</v>
      </c>
      <c r="AG62" s="1">
        <f t="shared" si="8"/>
        <v>42429</v>
      </c>
      <c r="AH62" s="1">
        <v>42429</v>
      </c>
      <c r="AI62">
        <v>49.2</v>
      </c>
    </row>
    <row r="63" spans="1:35" x14ac:dyDescent="0.25">
      <c r="A63" s="1">
        <f t="shared" si="0"/>
        <v>42094</v>
      </c>
      <c r="B63" s="1">
        <v>42094</v>
      </c>
      <c r="C63">
        <v>48.2806</v>
      </c>
      <c r="E63" s="1">
        <f t="shared" si="1"/>
        <v>42735</v>
      </c>
      <c r="F63" s="1">
        <v>42735</v>
      </c>
      <c r="G63">
        <v>78.06</v>
      </c>
      <c r="I63" s="1">
        <f t="shared" si="2"/>
        <v>42094</v>
      </c>
      <c r="J63" s="1">
        <v>42094</v>
      </c>
      <c r="K63">
        <v>274</v>
      </c>
      <c r="M63" s="1">
        <f t="shared" si="3"/>
        <v>42094</v>
      </c>
      <c r="N63" s="1">
        <v>42094</v>
      </c>
      <c r="O63">
        <v>1785</v>
      </c>
      <c r="Q63" s="1">
        <f t="shared" si="4"/>
        <v>42094</v>
      </c>
      <c r="R63" s="1">
        <v>42094</v>
      </c>
      <c r="S63">
        <v>0.76070000000000004</v>
      </c>
      <c r="U63" s="1">
        <f t="shared" si="5"/>
        <v>42094</v>
      </c>
      <c r="V63" s="1">
        <v>42094</v>
      </c>
      <c r="W63">
        <v>2067.89</v>
      </c>
      <c r="Y63" s="1">
        <f t="shared" si="6"/>
        <v>42338</v>
      </c>
      <c r="Z63" s="1">
        <v>42338</v>
      </c>
      <c r="AA63">
        <v>63.32</v>
      </c>
      <c r="AC63" s="1">
        <f t="shared" si="7"/>
        <v>42094</v>
      </c>
      <c r="AD63" s="1">
        <v>42094</v>
      </c>
      <c r="AE63">
        <v>158.5</v>
      </c>
      <c r="AG63" s="1">
        <f t="shared" si="8"/>
        <v>42460</v>
      </c>
      <c r="AH63" s="1">
        <v>42460</v>
      </c>
      <c r="AI63">
        <v>51</v>
      </c>
    </row>
    <row r="64" spans="1:35" x14ac:dyDescent="0.25">
      <c r="A64" s="1">
        <f t="shared" si="0"/>
        <v>42124</v>
      </c>
      <c r="B64" s="1">
        <v>42124</v>
      </c>
      <c r="C64">
        <v>52.234000000000002</v>
      </c>
      <c r="E64" s="1">
        <f t="shared" si="1"/>
        <v>42766</v>
      </c>
      <c r="F64" s="1">
        <v>42766</v>
      </c>
      <c r="G64">
        <v>83.44</v>
      </c>
      <c r="I64" s="1">
        <f t="shared" si="2"/>
        <v>42124</v>
      </c>
      <c r="J64" s="1">
        <v>42124</v>
      </c>
      <c r="K64">
        <v>288.64999999999998</v>
      </c>
      <c r="M64" s="1">
        <f t="shared" si="3"/>
        <v>42124</v>
      </c>
      <c r="N64" s="1">
        <v>42124</v>
      </c>
      <c r="O64">
        <v>1925</v>
      </c>
      <c r="Q64" s="1">
        <f t="shared" si="4"/>
        <v>42124</v>
      </c>
      <c r="R64" s="1">
        <v>42124</v>
      </c>
      <c r="S64">
        <v>0.79049999999999998</v>
      </c>
      <c r="U64" s="1">
        <f t="shared" si="5"/>
        <v>42124</v>
      </c>
      <c r="V64" s="1">
        <v>42124</v>
      </c>
      <c r="W64">
        <v>2085.5100000000002</v>
      </c>
      <c r="Y64" s="1">
        <f t="shared" si="6"/>
        <v>42369</v>
      </c>
      <c r="Z64" s="1">
        <v>42369</v>
      </c>
      <c r="AA64">
        <v>64.37</v>
      </c>
      <c r="AC64" s="1">
        <f t="shared" si="7"/>
        <v>42124</v>
      </c>
      <c r="AD64" s="1">
        <v>42124</v>
      </c>
      <c r="AE64">
        <v>147.19999999999999</v>
      </c>
      <c r="AG64" s="1">
        <f t="shared" si="8"/>
        <v>42490</v>
      </c>
      <c r="AH64" s="1">
        <v>42490</v>
      </c>
      <c r="AI64">
        <v>51.3</v>
      </c>
    </row>
    <row r="65" spans="1:35" x14ac:dyDescent="0.25">
      <c r="A65" s="1">
        <f t="shared" si="0"/>
        <v>42155</v>
      </c>
      <c r="B65" s="1">
        <v>42153</v>
      </c>
      <c r="C65">
        <v>51.044499999999999</v>
      </c>
      <c r="E65" s="1">
        <f t="shared" si="1"/>
        <v>42794</v>
      </c>
      <c r="F65" s="1">
        <v>42794</v>
      </c>
      <c r="G65">
        <v>92.46</v>
      </c>
      <c r="I65" s="1">
        <f t="shared" si="2"/>
        <v>42155</v>
      </c>
      <c r="J65" s="1">
        <v>42153</v>
      </c>
      <c r="K65">
        <v>272.8</v>
      </c>
      <c r="M65" s="1">
        <f t="shared" si="3"/>
        <v>42155</v>
      </c>
      <c r="N65" s="1">
        <v>42153</v>
      </c>
      <c r="O65">
        <v>1740</v>
      </c>
      <c r="Q65" s="1">
        <f t="shared" si="4"/>
        <v>42155</v>
      </c>
      <c r="R65" s="1">
        <v>42153</v>
      </c>
      <c r="S65">
        <v>0.76449999999999996</v>
      </c>
      <c r="U65" s="1">
        <f t="shared" si="5"/>
        <v>42155</v>
      </c>
      <c r="V65" s="1">
        <v>42153</v>
      </c>
      <c r="W65">
        <v>2107.39</v>
      </c>
      <c r="Y65" s="1">
        <f t="shared" si="6"/>
        <v>42460</v>
      </c>
      <c r="Z65" s="1">
        <v>42460</v>
      </c>
      <c r="AA65">
        <v>70.650000000000006</v>
      </c>
      <c r="AC65" s="1">
        <f t="shared" si="7"/>
        <v>42155</v>
      </c>
      <c r="AD65" s="1">
        <v>42155</v>
      </c>
      <c r="AE65">
        <v>154</v>
      </c>
      <c r="AG65" s="1">
        <f t="shared" si="8"/>
        <v>42521</v>
      </c>
      <c r="AH65" s="1">
        <v>42521</v>
      </c>
      <c r="AI65">
        <v>51.4</v>
      </c>
    </row>
    <row r="66" spans="1:35" x14ac:dyDescent="0.25">
      <c r="A66" s="1">
        <f t="shared" si="0"/>
        <v>42185</v>
      </c>
      <c r="B66" s="1">
        <v>42185</v>
      </c>
      <c r="C66">
        <v>48.058999999999997</v>
      </c>
      <c r="E66" s="1">
        <f t="shared" si="1"/>
        <v>42825</v>
      </c>
      <c r="F66" s="1">
        <v>42825</v>
      </c>
      <c r="G66">
        <v>80.209999999999994</v>
      </c>
      <c r="I66" s="1">
        <f t="shared" si="2"/>
        <v>42185</v>
      </c>
      <c r="J66" s="1">
        <v>42185</v>
      </c>
      <c r="K66">
        <v>262.35000000000002</v>
      </c>
      <c r="M66" s="1">
        <f t="shared" si="3"/>
        <v>42185</v>
      </c>
      <c r="N66" s="1">
        <v>42185</v>
      </c>
      <c r="O66">
        <v>1691</v>
      </c>
      <c r="Q66" s="1">
        <f t="shared" si="4"/>
        <v>42185</v>
      </c>
      <c r="R66" s="1">
        <v>42185</v>
      </c>
      <c r="S66">
        <v>0.77070000000000005</v>
      </c>
      <c r="U66" s="1">
        <f t="shared" si="5"/>
        <v>42185</v>
      </c>
      <c r="V66" s="1">
        <v>42185</v>
      </c>
      <c r="W66">
        <v>2063.11</v>
      </c>
      <c r="Y66" s="1">
        <f t="shared" si="6"/>
        <v>42490</v>
      </c>
      <c r="Z66" s="1">
        <v>42490</v>
      </c>
      <c r="AA66">
        <v>69.42</v>
      </c>
      <c r="AC66" s="1">
        <f t="shared" si="7"/>
        <v>42185</v>
      </c>
      <c r="AD66" s="1">
        <v>42185</v>
      </c>
      <c r="AE66">
        <v>172.3</v>
      </c>
      <c r="AG66" s="1">
        <f t="shared" si="8"/>
        <v>42551</v>
      </c>
      <c r="AH66" s="1">
        <v>42551</v>
      </c>
      <c r="AI66">
        <v>52.2</v>
      </c>
    </row>
    <row r="67" spans="1:35" x14ac:dyDescent="0.25">
      <c r="A67" s="1">
        <f t="shared" si="0"/>
        <v>42216</v>
      </c>
      <c r="B67" s="1">
        <v>42216</v>
      </c>
      <c r="C67">
        <v>45.038499999999999</v>
      </c>
      <c r="E67" s="1">
        <f t="shared" si="1"/>
        <v>42855</v>
      </c>
      <c r="F67" s="1">
        <v>42855</v>
      </c>
      <c r="G67">
        <v>65.510000000000005</v>
      </c>
      <c r="I67" s="1">
        <f t="shared" si="2"/>
        <v>42216</v>
      </c>
      <c r="J67" s="1">
        <v>42216</v>
      </c>
      <c r="K67">
        <v>236.35</v>
      </c>
      <c r="M67" s="1">
        <f t="shared" si="3"/>
        <v>42216</v>
      </c>
      <c r="N67" s="1">
        <v>42216</v>
      </c>
      <c r="O67">
        <v>1618</v>
      </c>
      <c r="Q67" s="1">
        <f t="shared" si="4"/>
        <v>42216</v>
      </c>
      <c r="R67" s="1">
        <v>42216</v>
      </c>
      <c r="S67">
        <v>0.73080000000000001</v>
      </c>
      <c r="U67" s="1">
        <f t="shared" si="5"/>
        <v>42216</v>
      </c>
      <c r="V67" s="1">
        <v>42216</v>
      </c>
      <c r="W67">
        <v>2103.84</v>
      </c>
      <c r="Y67" s="1">
        <f t="shared" si="6"/>
        <v>42521</v>
      </c>
      <c r="Z67" s="1">
        <v>42521</v>
      </c>
      <c r="AA67">
        <v>70.5</v>
      </c>
      <c r="AC67" s="1">
        <f t="shared" si="7"/>
        <v>42216</v>
      </c>
      <c r="AD67" s="1">
        <v>42216</v>
      </c>
      <c r="AE67">
        <v>156.9</v>
      </c>
      <c r="AG67" s="1">
        <f t="shared" si="8"/>
        <v>42582</v>
      </c>
      <c r="AH67" s="1">
        <v>42582</v>
      </c>
      <c r="AI67">
        <v>52.7</v>
      </c>
    </row>
    <row r="68" spans="1:35" x14ac:dyDescent="0.25">
      <c r="A68" s="1">
        <f t="shared" ref="A68:A131" si="9">EOMONTH(B68,0)</f>
        <v>42247</v>
      </c>
      <c r="B68" s="1">
        <v>42247</v>
      </c>
      <c r="C68">
        <v>43.966500000000003</v>
      </c>
      <c r="E68" s="1">
        <f t="shared" ref="E68:E131" si="10">EOMONTH(F68,0)</f>
        <v>42886</v>
      </c>
      <c r="F68" s="1">
        <v>42886</v>
      </c>
      <c r="G68">
        <v>56.07</v>
      </c>
      <c r="I68" s="1">
        <f t="shared" ref="I68:I131" si="11">EOMONTH(J68,0)</f>
        <v>42247</v>
      </c>
      <c r="J68" s="1">
        <v>42247</v>
      </c>
      <c r="K68">
        <v>233.8</v>
      </c>
      <c r="M68" s="1">
        <f t="shared" ref="M68:M131" si="12">EOMONTH(N68,0)</f>
        <v>42247</v>
      </c>
      <c r="N68" s="1">
        <v>42247</v>
      </c>
      <c r="O68">
        <v>1603</v>
      </c>
      <c r="Q68" s="1">
        <f t="shared" ref="Q68:Q131" si="13">EOMONTH(R68,0)</f>
        <v>42247</v>
      </c>
      <c r="R68" s="1">
        <v>42247</v>
      </c>
      <c r="S68">
        <v>0.71130000000000004</v>
      </c>
      <c r="U68" s="1">
        <f t="shared" ref="U68:U131" si="14">EOMONTH(V68,0)</f>
        <v>42247</v>
      </c>
      <c r="V68" s="1">
        <v>42247</v>
      </c>
      <c r="W68">
        <v>1972.18</v>
      </c>
      <c r="Y68" s="1">
        <f t="shared" ref="Y68:Y131" si="15">EOMONTH(Z68,0)</f>
        <v>42551</v>
      </c>
      <c r="Z68" s="1">
        <v>42551</v>
      </c>
      <c r="AA68">
        <v>69.47</v>
      </c>
      <c r="AC68" s="1">
        <f t="shared" ref="AC68:AC131" si="16">EOMONTH(AD68,0)</f>
        <v>42247</v>
      </c>
      <c r="AD68" s="1">
        <v>42247</v>
      </c>
      <c r="AE68">
        <v>157.5</v>
      </c>
      <c r="AG68" s="1">
        <f t="shared" ref="AG68:AG131" si="17">EOMONTH(AH68,0)</f>
        <v>42613</v>
      </c>
      <c r="AH68" s="1">
        <v>42613</v>
      </c>
      <c r="AI68">
        <v>49.8</v>
      </c>
    </row>
    <row r="69" spans="1:35" x14ac:dyDescent="0.25">
      <c r="A69" s="1">
        <f t="shared" si="9"/>
        <v>42277</v>
      </c>
      <c r="B69" s="1">
        <v>42277</v>
      </c>
      <c r="C69">
        <v>40.494199999999999</v>
      </c>
      <c r="E69" s="1">
        <f t="shared" si="10"/>
        <v>42916</v>
      </c>
      <c r="F69" s="1">
        <v>42916</v>
      </c>
      <c r="G69">
        <v>61.61</v>
      </c>
      <c r="I69" s="1">
        <f t="shared" si="11"/>
        <v>42277</v>
      </c>
      <c r="J69" s="1">
        <v>42277</v>
      </c>
      <c r="K69">
        <v>234.1</v>
      </c>
      <c r="M69" s="1">
        <f t="shared" si="12"/>
        <v>42277</v>
      </c>
      <c r="N69" s="1">
        <v>42277</v>
      </c>
      <c r="O69">
        <v>1577</v>
      </c>
      <c r="Q69" s="1">
        <f t="shared" si="13"/>
        <v>42277</v>
      </c>
      <c r="R69" s="1">
        <v>42277</v>
      </c>
      <c r="S69">
        <v>0.70179999999999998</v>
      </c>
      <c r="U69" s="1">
        <f t="shared" si="14"/>
        <v>42277</v>
      </c>
      <c r="V69" s="1">
        <v>42277</v>
      </c>
      <c r="W69">
        <v>1920.03</v>
      </c>
      <c r="Y69" s="1">
        <f t="shared" si="15"/>
        <v>42582</v>
      </c>
      <c r="Z69" s="1">
        <v>42582</v>
      </c>
      <c r="AA69">
        <v>66.81</v>
      </c>
      <c r="AC69" s="1">
        <f t="shared" si="16"/>
        <v>42277</v>
      </c>
      <c r="AD69" s="1">
        <v>42277</v>
      </c>
      <c r="AE69">
        <v>169.5</v>
      </c>
      <c r="AG69" s="1">
        <f t="shared" si="17"/>
        <v>42643</v>
      </c>
      <c r="AH69" s="1">
        <v>42643</v>
      </c>
      <c r="AI69">
        <v>51.1</v>
      </c>
    </row>
    <row r="70" spans="1:35" x14ac:dyDescent="0.25">
      <c r="A70" s="1">
        <f t="shared" si="9"/>
        <v>42308</v>
      </c>
      <c r="B70" s="1">
        <v>42307</v>
      </c>
      <c r="C70">
        <v>43.7151</v>
      </c>
      <c r="E70" s="1">
        <f t="shared" si="10"/>
        <v>42947</v>
      </c>
      <c r="F70" s="1">
        <v>42947</v>
      </c>
      <c r="G70">
        <v>73.06</v>
      </c>
      <c r="I70" s="1">
        <f t="shared" si="11"/>
        <v>42308</v>
      </c>
      <c r="J70" s="1">
        <v>42307</v>
      </c>
      <c r="K70">
        <v>231.75</v>
      </c>
      <c r="M70" s="1">
        <f t="shared" si="12"/>
        <v>42308</v>
      </c>
      <c r="N70" s="1">
        <v>42307</v>
      </c>
      <c r="O70">
        <v>1478.5</v>
      </c>
      <c r="Q70" s="1">
        <f t="shared" si="13"/>
        <v>42308</v>
      </c>
      <c r="R70" s="1">
        <v>42307</v>
      </c>
      <c r="S70">
        <v>0.71379999999999999</v>
      </c>
      <c r="U70" s="1">
        <f t="shared" si="14"/>
        <v>42308</v>
      </c>
      <c r="V70" s="1">
        <v>42307</v>
      </c>
      <c r="W70">
        <v>2079.36</v>
      </c>
      <c r="Y70" s="1">
        <f t="shared" si="15"/>
        <v>42613</v>
      </c>
      <c r="Z70" s="1">
        <v>42613</v>
      </c>
      <c r="AA70">
        <v>68.569999999999993</v>
      </c>
      <c r="AC70" s="1">
        <f t="shared" si="16"/>
        <v>42308</v>
      </c>
      <c r="AD70" s="1">
        <v>42308</v>
      </c>
      <c r="AE70">
        <v>164.8</v>
      </c>
      <c r="AG70" s="1">
        <f t="shared" si="17"/>
        <v>42674</v>
      </c>
      <c r="AH70" s="1">
        <v>42674</v>
      </c>
      <c r="AI70">
        <v>51.8</v>
      </c>
    </row>
    <row r="71" spans="1:35" x14ac:dyDescent="0.25">
      <c r="A71" s="1">
        <f t="shared" si="9"/>
        <v>42338</v>
      </c>
      <c r="B71" s="1">
        <v>42338</v>
      </c>
      <c r="C71">
        <v>39.608199999999997</v>
      </c>
      <c r="E71" s="1">
        <f t="shared" si="10"/>
        <v>42978</v>
      </c>
      <c r="F71" s="1">
        <v>42978</v>
      </c>
      <c r="G71">
        <v>78.59</v>
      </c>
      <c r="I71" s="1">
        <f t="shared" si="11"/>
        <v>42338</v>
      </c>
      <c r="J71" s="1">
        <v>42338</v>
      </c>
      <c r="K71">
        <v>204.45</v>
      </c>
      <c r="M71" s="1">
        <f t="shared" si="12"/>
        <v>42338</v>
      </c>
      <c r="N71" s="1">
        <v>42338</v>
      </c>
      <c r="O71">
        <v>1446</v>
      </c>
      <c r="Q71" s="1">
        <f t="shared" si="13"/>
        <v>42338</v>
      </c>
      <c r="R71" s="1">
        <v>42338</v>
      </c>
      <c r="S71">
        <v>0.72270000000000001</v>
      </c>
      <c r="U71" s="1">
        <f t="shared" si="14"/>
        <v>42338</v>
      </c>
      <c r="V71" s="1">
        <v>42338</v>
      </c>
      <c r="W71">
        <v>2080.41</v>
      </c>
      <c r="Y71" s="1">
        <f t="shared" si="15"/>
        <v>42643</v>
      </c>
      <c r="Z71" s="1">
        <v>42643</v>
      </c>
      <c r="AA71">
        <v>68.17</v>
      </c>
      <c r="AC71" s="1">
        <f t="shared" si="16"/>
        <v>42338</v>
      </c>
      <c r="AD71" s="1">
        <v>42338</v>
      </c>
      <c r="AE71">
        <v>172.9</v>
      </c>
      <c r="AG71" s="1">
        <f t="shared" si="17"/>
        <v>42704</v>
      </c>
      <c r="AH71" s="1">
        <v>42704</v>
      </c>
      <c r="AI71">
        <v>53.2</v>
      </c>
    </row>
    <row r="72" spans="1:35" x14ac:dyDescent="0.25">
      <c r="A72" s="1">
        <f t="shared" si="9"/>
        <v>42369</v>
      </c>
      <c r="B72" s="1">
        <v>42369</v>
      </c>
      <c r="C72">
        <v>34.866700000000002</v>
      </c>
      <c r="E72" s="1">
        <f t="shared" si="10"/>
        <v>43008</v>
      </c>
      <c r="F72" s="1">
        <v>43008</v>
      </c>
      <c r="G72">
        <v>63.56</v>
      </c>
      <c r="I72" s="1">
        <f t="shared" si="11"/>
        <v>42369</v>
      </c>
      <c r="J72" s="1">
        <v>42369</v>
      </c>
      <c r="K72">
        <v>213.5</v>
      </c>
      <c r="M72" s="1">
        <f t="shared" si="12"/>
        <v>42369</v>
      </c>
      <c r="N72" s="1">
        <v>42369</v>
      </c>
      <c r="O72">
        <v>1507</v>
      </c>
      <c r="Q72" s="1">
        <f t="shared" si="13"/>
        <v>42369</v>
      </c>
      <c r="R72" s="1">
        <v>42369</v>
      </c>
      <c r="S72">
        <v>0.72860000000000003</v>
      </c>
      <c r="U72" s="1">
        <f t="shared" si="14"/>
        <v>42369</v>
      </c>
      <c r="V72" s="1">
        <v>42369</v>
      </c>
      <c r="W72">
        <v>2043.94</v>
      </c>
      <c r="Y72" s="1">
        <f t="shared" si="15"/>
        <v>42674</v>
      </c>
      <c r="Z72" s="1">
        <v>42674</v>
      </c>
      <c r="AA72">
        <v>68.510000000000005</v>
      </c>
      <c r="AC72" s="1">
        <f t="shared" si="16"/>
        <v>42369</v>
      </c>
      <c r="AD72" s="1">
        <v>42369</v>
      </c>
      <c r="AE72">
        <v>186.1</v>
      </c>
      <c r="AG72" s="1">
        <f t="shared" si="17"/>
        <v>42735</v>
      </c>
      <c r="AH72" s="1">
        <v>42735</v>
      </c>
      <c r="AI72">
        <v>54.4</v>
      </c>
    </row>
    <row r="73" spans="1:35" x14ac:dyDescent="0.25">
      <c r="A73" s="1">
        <f t="shared" si="9"/>
        <v>42400</v>
      </c>
      <c r="B73" s="1">
        <v>42398</v>
      </c>
      <c r="C73">
        <v>29.514500000000002</v>
      </c>
      <c r="E73" s="1">
        <f t="shared" si="10"/>
        <v>43039</v>
      </c>
      <c r="F73" s="1">
        <v>43039</v>
      </c>
      <c r="G73">
        <v>58.36</v>
      </c>
      <c r="I73" s="1">
        <f t="shared" si="11"/>
        <v>42400</v>
      </c>
      <c r="J73" s="1">
        <v>42398</v>
      </c>
      <c r="K73">
        <v>206.7</v>
      </c>
      <c r="M73" s="1">
        <f t="shared" si="12"/>
        <v>42400</v>
      </c>
      <c r="N73" s="1">
        <v>42398</v>
      </c>
      <c r="O73">
        <v>1519</v>
      </c>
      <c r="Q73" s="1">
        <f t="shared" si="13"/>
        <v>42400</v>
      </c>
      <c r="R73" s="1">
        <v>42398</v>
      </c>
      <c r="S73">
        <v>0.70840000000000003</v>
      </c>
      <c r="U73" s="1">
        <f t="shared" si="14"/>
        <v>42400</v>
      </c>
      <c r="V73" s="1">
        <v>42398</v>
      </c>
      <c r="W73">
        <v>1940.24</v>
      </c>
      <c r="Y73" s="1">
        <f t="shared" si="15"/>
        <v>42704</v>
      </c>
      <c r="Z73" s="1">
        <v>42704</v>
      </c>
      <c r="AA73">
        <v>66.290000000000006</v>
      </c>
      <c r="AC73" s="1">
        <f t="shared" si="16"/>
        <v>42400</v>
      </c>
      <c r="AD73" s="1">
        <v>42400</v>
      </c>
      <c r="AE73">
        <v>150.6</v>
      </c>
      <c r="AG73" s="1">
        <f t="shared" si="17"/>
        <v>42766</v>
      </c>
      <c r="AH73" s="1">
        <v>42766</v>
      </c>
      <c r="AI73">
        <v>55.7</v>
      </c>
    </row>
    <row r="74" spans="1:35" x14ac:dyDescent="0.25">
      <c r="A74" s="1">
        <f t="shared" si="9"/>
        <v>42429</v>
      </c>
      <c r="B74" s="1">
        <v>42429</v>
      </c>
      <c r="C74">
        <v>32.535200000000003</v>
      </c>
      <c r="E74" s="1">
        <f t="shared" si="10"/>
        <v>43069</v>
      </c>
      <c r="F74" s="1">
        <v>43069</v>
      </c>
      <c r="G74">
        <v>68.73</v>
      </c>
      <c r="I74" s="1">
        <f t="shared" si="11"/>
        <v>42429</v>
      </c>
      <c r="J74" s="1">
        <v>42429</v>
      </c>
      <c r="K74">
        <v>212.85</v>
      </c>
      <c r="M74" s="1">
        <f t="shared" si="12"/>
        <v>42429</v>
      </c>
      <c r="N74" s="1">
        <v>42429</v>
      </c>
      <c r="O74">
        <v>1573</v>
      </c>
      <c r="Q74" s="1">
        <f t="shared" si="13"/>
        <v>42429</v>
      </c>
      <c r="R74" s="1">
        <v>42429</v>
      </c>
      <c r="S74">
        <v>0.71409999999999996</v>
      </c>
      <c r="U74" s="1">
        <f t="shared" si="14"/>
        <v>42429</v>
      </c>
      <c r="V74" s="1">
        <v>42429</v>
      </c>
      <c r="W74">
        <v>1932.23</v>
      </c>
      <c r="Y74" s="1">
        <f t="shared" si="15"/>
        <v>42735</v>
      </c>
      <c r="Z74" s="1">
        <v>42735</v>
      </c>
      <c r="AA74">
        <v>67.22</v>
      </c>
      <c r="AC74" s="1">
        <f t="shared" si="16"/>
        <v>42429</v>
      </c>
      <c r="AD74" s="1">
        <v>42429</v>
      </c>
      <c r="AE74">
        <v>124.7</v>
      </c>
      <c r="AG74" s="1">
        <f t="shared" si="17"/>
        <v>42794</v>
      </c>
      <c r="AH74" s="1">
        <v>42794</v>
      </c>
      <c r="AI74">
        <v>57.7</v>
      </c>
    </row>
    <row r="75" spans="1:35" x14ac:dyDescent="0.25">
      <c r="A75" s="1">
        <f t="shared" si="9"/>
        <v>42460</v>
      </c>
      <c r="B75" s="1">
        <v>42460</v>
      </c>
      <c r="C75">
        <v>35.240200000000002</v>
      </c>
      <c r="E75" s="1">
        <f t="shared" si="10"/>
        <v>43100</v>
      </c>
      <c r="F75" s="1">
        <v>43100</v>
      </c>
      <c r="G75">
        <v>70.78</v>
      </c>
      <c r="I75" s="1">
        <f t="shared" si="11"/>
        <v>42460</v>
      </c>
      <c r="J75" s="1">
        <v>42460</v>
      </c>
      <c r="K75">
        <v>218.3</v>
      </c>
      <c r="M75" s="1">
        <f t="shared" si="12"/>
        <v>42460</v>
      </c>
      <c r="N75" s="1">
        <v>42460</v>
      </c>
      <c r="O75">
        <v>1520</v>
      </c>
      <c r="Q75" s="1">
        <f t="shared" si="13"/>
        <v>42460</v>
      </c>
      <c r="R75" s="1">
        <v>42460</v>
      </c>
      <c r="S75">
        <v>0.76570000000000005</v>
      </c>
      <c r="U75" s="1">
        <f t="shared" si="14"/>
        <v>42460</v>
      </c>
      <c r="V75" s="1">
        <v>42460</v>
      </c>
      <c r="W75">
        <v>2059.7399999999998</v>
      </c>
      <c r="Y75" s="1">
        <f t="shared" si="15"/>
        <v>42825</v>
      </c>
      <c r="Z75" s="1">
        <v>42825</v>
      </c>
      <c r="AA75">
        <v>72</v>
      </c>
      <c r="AC75" s="1">
        <f t="shared" si="16"/>
        <v>42460</v>
      </c>
      <c r="AD75" s="1">
        <v>42460</v>
      </c>
      <c r="AE75">
        <v>169.2</v>
      </c>
      <c r="AG75" s="1">
        <f t="shared" si="17"/>
        <v>42825</v>
      </c>
      <c r="AH75" s="1">
        <v>42825</v>
      </c>
      <c r="AI75">
        <v>56.5</v>
      </c>
    </row>
    <row r="76" spans="1:35" x14ac:dyDescent="0.25">
      <c r="A76" s="1">
        <f t="shared" si="9"/>
        <v>42490</v>
      </c>
      <c r="B76" s="1">
        <v>42489</v>
      </c>
      <c r="C76">
        <v>41.959099999999999</v>
      </c>
      <c r="E76" s="1">
        <f t="shared" si="10"/>
        <v>43131</v>
      </c>
      <c r="F76" s="1">
        <v>43131</v>
      </c>
      <c r="G76">
        <v>71.61</v>
      </c>
      <c r="I76" s="1">
        <f t="shared" si="11"/>
        <v>42490</v>
      </c>
      <c r="J76" s="1">
        <v>42489</v>
      </c>
      <c r="K76">
        <v>227.9</v>
      </c>
      <c r="M76" s="1">
        <f t="shared" si="12"/>
        <v>42490</v>
      </c>
      <c r="N76" s="1">
        <v>42489</v>
      </c>
      <c r="O76">
        <v>1679</v>
      </c>
      <c r="Q76" s="1">
        <f t="shared" si="13"/>
        <v>42490</v>
      </c>
      <c r="R76" s="1">
        <v>42489</v>
      </c>
      <c r="S76">
        <v>0.76029999999999998</v>
      </c>
      <c r="U76" s="1">
        <f t="shared" si="14"/>
        <v>42490</v>
      </c>
      <c r="V76" s="1">
        <v>42489</v>
      </c>
      <c r="W76">
        <v>2065.3000000000002</v>
      </c>
      <c r="Y76" s="1">
        <f t="shared" si="15"/>
        <v>42855</v>
      </c>
      <c r="Z76" s="1">
        <v>42855</v>
      </c>
      <c r="AA76">
        <v>72.78</v>
      </c>
      <c r="AC76" s="1">
        <f t="shared" si="16"/>
        <v>42490</v>
      </c>
      <c r="AD76" s="1">
        <v>42490</v>
      </c>
      <c r="AE76">
        <v>156.1</v>
      </c>
      <c r="AG76" s="1">
        <f t="shared" si="17"/>
        <v>42855</v>
      </c>
      <c r="AH76" s="1">
        <v>42855</v>
      </c>
      <c r="AI76">
        <v>55.8</v>
      </c>
    </row>
    <row r="77" spans="1:35" x14ac:dyDescent="0.25">
      <c r="A77" s="1">
        <f t="shared" si="9"/>
        <v>42521</v>
      </c>
      <c r="B77" s="1">
        <v>42521</v>
      </c>
      <c r="C77">
        <v>34.953499999999998</v>
      </c>
      <c r="E77" s="1">
        <f t="shared" si="10"/>
        <v>43159</v>
      </c>
      <c r="F77" s="1">
        <v>43159</v>
      </c>
      <c r="G77">
        <v>75.59</v>
      </c>
      <c r="I77" s="1">
        <f t="shared" si="11"/>
        <v>42521</v>
      </c>
      <c r="J77" s="1">
        <v>42521</v>
      </c>
      <c r="K77">
        <v>209.55</v>
      </c>
      <c r="M77" s="1">
        <f t="shared" si="12"/>
        <v>42521</v>
      </c>
      <c r="N77" s="1">
        <v>42521</v>
      </c>
      <c r="O77">
        <v>1556</v>
      </c>
      <c r="Q77" s="1">
        <f t="shared" si="13"/>
        <v>42521</v>
      </c>
      <c r="R77" s="1">
        <v>42521</v>
      </c>
      <c r="S77">
        <v>0.72340000000000004</v>
      </c>
      <c r="U77" s="1">
        <f t="shared" si="14"/>
        <v>42521</v>
      </c>
      <c r="V77" s="1">
        <v>42521</v>
      </c>
      <c r="W77">
        <v>2096.96</v>
      </c>
      <c r="Y77" s="1">
        <f t="shared" si="15"/>
        <v>42886</v>
      </c>
      <c r="Z77" s="1">
        <v>42886</v>
      </c>
      <c r="AA77">
        <v>72.260000000000005</v>
      </c>
      <c r="AC77" s="1">
        <f t="shared" si="16"/>
        <v>42521</v>
      </c>
      <c r="AD77" s="1">
        <v>42521</v>
      </c>
      <c r="AE77">
        <v>163.30000000000001</v>
      </c>
      <c r="AG77" s="1">
        <f t="shared" si="17"/>
        <v>42886</v>
      </c>
      <c r="AH77" s="1">
        <v>42886</v>
      </c>
      <c r="AI77">
        <v>56.4</v>
      </c>
    </row>
    <row r="78" spans="1:35" x14ac:dyDescent="0.25">
      <c r="A78" s="1">
        <f t="shared" si="9"/>
        <v>42551</v>
      </c>
      <c r="B78" s="1">
        <v>42551</v>
      </c>
      <c r="C78">
        <v>39.017299999999999</v>
      </c>
      <c r="E78" s="1">
        <f t="shared" si="10"/>
        <v>43190</v>
      </c>
      <c r="F78" s="1">
        <v>43190</v>
      </c>
      <c r="G78">
        <v>61.49</v>
      </c>
      <c r="I78" s="1">
        <f t="shared" si="11"/>
        <v>42551</v>
      </c>
      <c r="J78" s="1">
        <v>42551</v>
      </c>
      <c r="K78">
        <v>219.45</v>
      </c>
      <c r="M78" s="1">
        <f t="shared" si="12"/>
        <v>42551</v>
      </c>
      <c r="N78" s="1">
        <v>42551</v>
      </c>
      <c r="O78">
        <v>1649</v>
      </c>
      <c r="Q78" s="1">
        <f t="shared" si="13"/>
        <v>42551</v>
      </c>
      <c r="R78" s="1">
        <v>42551</v>
      </c>
      <c r="S78">
        <v>0.74509999999999998</v>
      </c>
      <c r="U78" s="1">
        <f t="shared" si="14"/>
        <v>42551</v>
      </c>
      <c r="V78" s="1">
        <v>42551</v>
      </c>
      <c r="W78">
        <v>2098.86</v>
      </c>
      <c r="Y78" s="1">
        <f t="shared" si="15"/>
        <v>42916</v>
      </c>
      <c r="Z78" s="1">
        <v>42916</v>
      </c>
      <c r="AA78">
        <v>73.23</v>
      </c>
      <c r="AC78" s="1">
        <f t="shared" si="16"/>
        <v>42551</v>
      </c>
      <c r="AD78" s="1">
        <v>42551</v>
      </c>
      <c r="AE78">
        <v>183</v>
      </c>
      <c r="AG78" s="1">
        <f t="shared" si="17"/>
        <v>42916</v>
      </c>
      <c r="AH78" s="1">
        <v>42916</v>
      </c>
      <c r="AI78">
        <v>56.2</v>
      </c>
    </row>
    <row r="79" spans="1:35" x14ac:dyDescent="0.25">
      <c r="A79" s="1">
        <f t="shared" si="9"/>
        <v>42582</v>
      </c>
      <c r="B79" s="1">
        <v>42580</v>
      </c>
      <c r="C79">
        <v>40.911999999999999</v>
      </c>
      <c r="E79" s="1">
        <f t="shared" si="10"/>
        <v>43220</v>
      </c>
      <c r="F79" s="1">
        <v>43220</v>
      </c>
      <c r="G79">
        <v>63.7</v>
      </c>
      <c r="I79" s="1">
        <f t="shared" si="11"/>
        <v>42582</v>
      </c>
      <c r="J79" s="1">
        <v>42580</v>
      </c>
      <c r="K79">
        <v>222.15</v>
      </c>
      <c r="M79" s="1">
        <f t="shared" si="12"/>
        <v>42582</v>
      </c>
      <c r="N79" s="1">
        <v>42580</v>
      </c>
      <c r="O79">
        <v>1644</v>
      </c>
      <c r="Q79" s="1">
        <f t="shared" si="13"/>
        <v>42582</v>
      </c>
      <c r="R79" s="1">
        <v>42580</v>
      </c>
      <c r="S79">
        <v>0.75960000000000005</v>
      </c>
      <c r="U79" s="1">
        <f t="shared" si="14"/>
        <v>42582</v>
      </c>
      <c r="V79" s="1">
        <v>42580</v>
      </c>
      <c r="W79">
        <v>2173.6</v>
      </c>
      <c r="Y79" s="1">
        <f t="shared" si="15"/>
        <v>42947</v>
      </c>
      <c r="Z79" s="1">
        <v>42947</v>
      </c>
      <c r="AA79">
        <v>74.02</v>
      </c>
      <c r="AC79" s="1">
        <f t="shared" si="16"/>
        <v>42582</v>
      </c>
      <c r="AD79" s="1">
        <v>42582</v>
      </c>
      <c r="AE79">
        <v>166.3</v>
      </c>
      <c r="AG79" s="1">
        <f t="shared" si="17"/>
        <v>42947</v>
      </c>
      <c r="AH79" s="1">
        <v>42947</v>
      </c>
      <c r="AI79">
        <v>56.5</v>
      </c>
    </row>
    <row r="80" spans="1:35" x14ac:dyDescent="0.25">
      <c r="A80" s="1">
        <f t="shared" si="9"/>
        <v>42613</v>
      </c>
      <c r="B80" s="1">
        <v>42613</v>
      </c>
      <c r="C80">
        <v>38.131599999999999</v>
      </c>
      <c r="E80" s="1">
        <f t="shared" si="10"/>
        <v>43251</v>
      </c>
      <c r="F80" s="1">
        <v>43251</v>
      </c>
      <c r="G80">
        <v>61.57</v>
      </c>
      <c r="I80" s="1">
        <f t="shared" si="11"/>
        <v>42613</v>
      </c>
      <c r="J80" s="1">
        <v>42613</v>
      </c>
      <c r="K80">
        <v>206.95</v>
      </c>
      <c r="M80" s="1">
        <f t="shared" si="12"/>
        <v>42613</v>
      </c>
      <c r="N80" s="1">
        <v>42613</v>
      </c>
      <c r="O80">
        <v>1614</v>
      </c>
      <c r="Q80" s="1">
        <f t="shared" si="13"/>
        <v>42613</v>
      </c>
      <c r="R80" s="1">
        <v>42613</v>
      </c>
      <c r="S80">
        <v>0.75170000000000003</v>
      </c>
      <c r="U80" s="1">
        <f t="shared" si="14"/>
        <v>42613</v>
      </c>
      <c r="V80" s="1">
        <v>42613</v>
      </c>
      <c r="W80">
        <v>2170.9499999999998</v>
      </c>
      <c r="Y80" s="1">
        <f t="shared" si="15"/>
        <v>42978</v>
      </c>
      <c r="Z80" s="1">
        <v>42978</v>
      </c>
      <c r="AA80">
        <v>74.59</v>
      </c>
      <c r="AC80" s="1">
        <f t="shared" si="16"/>
        <v>42613</v>
      </c>
      <c r="AD80" s="1">
        <v>42613</v>
      </c>
      <c r="AE80">
        <v>167.4</v>
      </c>
      <c r="AG80" s="1">
        <f t="shared" si="17"/>
        <v>42978</v>
      </c>
      <c r="AH80" s="1">
        <v>42978</v>
      </c>
      <c r="AI80">
        <v>58.4</v>
      </c>
    </row>
    <row r="81" spans="1:35" x14ac:dyDescent="0.25">
      <c r="A81" s="1">
        <f t="shared" si="9"/>
        <v>42643</v>
      </c>
      <c r="B81" s="1">
        <v>42643</v>
      </c>
      <c r="C81">
        <v>42.213900000000002</v>
      </c>
      <c r="E81" s="1">
        <f t="shared" si="10"/>
        <v>43281</v>
      </c>
      <c r="F81" s="1">
        <v>43281</v>
      </c>
      <c r="G81">
        <v>60.44</v>
      </c>
      <c r="I81" s="1">
        <f t="shared" si="11"/>
        <v>42643</v>
      </c>
      <c r="J81" s="1">
        <v>42643</v>
      </c>
      <c r="K81">
        <v>221.05</v>
      </c>
      <c r="M81" s="1">
        <f t="shared" si="12"/>
        <v>42643</v>
      </c>
      <c r="N81" s="1">
        <v>42643</v>
      </c>
      <c r="O81">
        <v>1673</v>
      </c>
      <c r="Q81" s="1">
        <f t="shared" si="13"/>
        <v>42643</v>
      </c>
      <c r="R81" s="1">
        <v>42643</v>
      </c>
      <c r="S81">
        <v>0.76639999999999997</v>
      </c>
      <c r="U81" s="1">
        <f t="shared" si="14"/>
        <v>42643</v>
      </c>
      <c r="V81" s="1">
        <v>42643</v>
      </c>
      <c r="W81">
        <v>2168.27</v>
      </c>
      <c r="Y81" s="1">
        <f t="shared" si="15"/>
        <v>43008</v>
      </c>
      <c r="Z81" s="1">
        <v>43008</v>
      </c>
      <c r="AA81">
        <v>71.83</v>
      </c>
      <c r="AC81" s="1">
        <f t="shared" si="16"/>
        <v>42643</v>
      </c>
      <c r="AD81" s="1">
        <v>42643</v>
      </c>
      <c r="AE81">
        <v>179.9</v>
      </c>
      <c r="AG81" s="1">
        <f t="shared" si="17"/>
        <v>43008</v>
      </c>
      <c r="AH81" s="1">
        <v>43008</v>
      </c>
      <c r="AI81">
        <v>60</v>
      </c>
    </row>
    <row r="82" spans="1:35" x14ac:dyDescent="0.25">
      <c r="A82" s="1">
        <f t="shared" si="9"/>
        <v>42674</v>
      </c>
      <c r="B82" s="1">
        <v>42674</v>
      </c>
      <c r="C82">
        <v>44.046599999999998</v>
      </c>
      <c r="E82" s="1">
        <f t="shared" si="10"/>
        <v>43312</v>
      </c>
      <c r="F82" s="1">
        <v>43312</v>
      </c>
      <c r="G82">
        <v>60.87</v>
      </c>
      <c r="I82" s="1">
        <f t="shared" si="11"/>
        <v>42674</v>
      </c>
      <c r="J82" s="1">
        <v>42674</v>
      </c>
      <c r="K82">
        <v>220.5</v>
      </c>
      <c r="M82" s="1">
        <f t="shared" si="12"/>
        <v>42674</v>
      </c>
      <c r="N82" s="1">
        <v>42674</v>
      </c>
      <c r="O82">
        <v>1734</v>
      </c>
      <c r="Q82" s="1">
        <f t="shared" si="13"/>
        <v>42674</v>
      </c>
      <c r="R82" s="1">
        <v>42674</v>
      </c>
      <c r="S82">
        <v>0.76090000000000002</v>
      </c>
      <c r="U82" s="1">
        <f t="shared" si="14"/>
        <v>42674</v>
      </c>
      <c r="V82" s="1">
        <v>42674</v>
      </c>
      <c r="W82">
        <v>2126.15</v>
      </c>
      <c r="Y82" s="1">
        <f t="shared" si="15"/>
        <v>43039</v>
      </c>
      <c r="Z82" s="1">
        <v>43039</v>
      </c>
      <c r="AA82">
        <v>72.36</v>
      </c>
      <c r="AC82" s="1">
        <f t="shared" si="16"/>
        <v>42674</v>
      </c>
      <c r="AD82" s="1">
        <v>42674</v>
      </c>
      <c r="AE82">
        <v>174.9</v>
      </c>
      <c r="AG82" s="1">
        <f t="shared" si="17"/>
        <v>43039</v>
      </c>
      <c r="AH82" s="1">
        <v>43039</v>
      </c>
      <c r="AI82">
        <v>58.6</v>
      </c>
    </row>
    <row r="83" spans="1:35" x14ac:dyDescent="0.25">
      <c r="A83" s="1">
        <f t="shared" si="9"/>
        <v>42704</v>
      </c>
      <c r="B83" s="1">
        <v>42704</v>
      </c>
      <c r="C83">
        <v>47.914099999999998</v>
      </c>
      <c r="E83" s="1">
        <f t="shared" si="10"/>
        <v>43343</v>
      </c>
      <c r="F83" s="1">
        <v>43343</v>
      </c>
      <c r="G83">
        <v>61.99</v>
      </c>
      <c r="I83" s="1">
        <f t="shared" si="11"/>
        <v>42704</v>
      </c>
      <c r="J83" s="1">
        <v>42704</v>
      </c>
      <c r="K83">
        <v>262.14999999999998</v>
      </c>
      <c r="M83" s="1">
        <f t="shared" si="12"/>
        <v>42704</v>
      </c>
      <c r="N83" s="1">
        <v>42704</v>
      </c>
      <c r="O83">
        <v>1732</v>
      </c>
      <c r="Q83" s="1">
        <f t="shared" si="13"/>
        <v>42704</v>
      </c>
      <c r="R83" s="1">
        <v>42704</v>
      </c>
      <c r="S83">
        <v>0.73850000000000005</v>
      </c>
      <c r="U83" s="1">
        <f t="shared" si="14"/>
        <v>42704</v>
      </c>
      <c r="V83" s="1">
        <v>42704</v>
      </c>
      <c r="W83">
        <v>2198.81</v>
      </c>
      <c r="Y83" s="1">
        <f t="shared" si="15"/>
        <v>43069</v>
      </c>
      <c r="Z83" s="1">
        <v>43069</v>
      </c>
      <c r="AA83">
        <v>66.150000000000006</v>
      </c>
      <c r="AC83" s="1">
        <f t="shared" si="16"/>
        <v>42704</v>
      </c>
      <c r="AD83" s="1">
        <v>42704</v>
      </c>
      <c r="AE83">
        <v>183.7</v>
      </c>
      <c r="AG83" s="1">
        <f t="shared" si="17"/>
        <v>43069</v>
      </c>
      <c r="AH83" s="1">
        <v>43069</v>
      </c>
      <c r="AI83">
        <v>57.6</v>
      </c>
    </row>
    <row r="84" spans="1:35" x14ac:dyDescent="0.25">
      <c r="A84" s="1">
        <f t="shared" si="9"/>
        <v>42735</v>
      </c>
      <c r="B84" s="1">
        <v>42734</v>
      </c>
      <c r="C84">
        <v>48.609200000000001</v>
      </c>
      <c r="E84" s="1">
        <f t="shared" si="10"/>
        <v>43373</v>
      </c>
      <c r="F84" s="1">
        <v>43373</v>
      </c>
      <c r="G84">
        <v>66.16</v>
      </c>
      <c r="I84" s="1">
        <f t="shared" si="11"/>
        <v>42735</v>
      </c>
      <c r="J84" s="1">
        <v>42734</v>
      </c>
      <c r="K84">
        <v>250.55</v>
      </c>
      <c r="M84" s="1">
        <f t="shared" si="12"/>
        <v>42735</v>
      </c>
      <c r="N84" s="1">
        <v>42734</v>
      </c>
      <c r="O84">
        <v>1693</v>
      </c>
      <c r="Q84" s="1">
        <f t="shared" si="13"/>
        <v>42735</v>
      </c>
      <c r="R84" s="1">
        <v>42734</v>
      </c>
      <c r="S84">
        <v>0.7208</v>
      </c>
      <c r="U84" s="1">
        <f t="shared" si="14"/>
        <v>42735</v>
      </c>
      <c r="V84" s="1">
        <v>42734</v>
      </c>
      <c r="W84">
        <v>2238.83</v>
      </c>
      <c r="Y84" s="1">
        <f t="shared" si="15"/>
        <v>43100</v>
      </c>
      <c r="Z84" s="1">
        <v>43100</v>
      </c>
      <c r="AA84">
        <v>67.05</v>
      </c>
      <c r="AC84" s="1">
        <f t="shared" si="16"/>
        <v>42735</v>
      </c>
      <c r="AD84" s="1">
        <v>42735</v>
      </c>
      <c r="AE84">
        <v>197.3</v>
      </c>
      <c r="AG84" s="1">
        <f t="shared" si="17"/>
        <v>43100</v>
      </c>
      <c r="AH84" s="1">
        <v>43100</v>
      </c>
      <c r="AI84">
        <v>59.7</v>
      </c>
    </row>
    <row r="85" spans="1:35" x14ac:dyDescent="0.25">
      <c r="A85" s="1">
        <f t="shared" si="9"/>
        <v>42766</v>
      </c>
      <c r="B85" s="1">
        <v>42766</v>
      </c>
      <c r="C85">
        <v>56.6096</v>
      </c>
      <c r="E85" s="1">
        <f t="shared" si="10"/>
        <v>43404</v>
      </c>
      <c r="F85" s="1">
        <v>43404</v>
      </c>
      <c r="G85">
        <v>74.61</v>
      </c>
      <c r="I85" s="1">
        <f t="shared" si="11"/>
        <v>42766</v>
      </c>
      <c r="J85" s="1">
        <v>42766</v>
      </c>
      <c r="K85">
        <v>272.75</v>
      </c>
      <c r="M85" s="1">
        <f t="shared" si="12"/>
        <v>42766</v>
      </c>
      <c r="N85" s="1">
        <v>42766</v>
      </c>
      <c r="O85">
        <v>1819</v>
      </c>
      <c r="Q85" s="1">
        <f t="shared" si="13"/>
        <v>42766</v>
      </c>
      <c r="R85" s="1">
        <v>42766</v>
      </c>
      <c r="S85">
        <v>0.75849999999999995</v>
      </c>
      <c r="U85" s="1">
        <f t="shared" si="14"/>
        <v>42766</v>
      </c>
      <c r="V85" s="1">
        <v>42766</v>
      </c>
      <c r="W85">
        <v>2278.87</v>
      </c>
      <c r="Y85" s="1">
        <f t="shared" si="15"/>
        <v>43190</v>
      </c>
      <c r="Z85" s="1">
        <v>43190</v>
      </c>
      <c r="AA85">
        <v>73.98</v>
      </c>
      <c r="AC85" s="1">
        <f t="shared" si="16"/>
        <v>42766</v>
      </c>
      <c r="AD85" s="1">
        <v>42766</v>
      </c>
      <c r="AE85">
        <v>155</v>
      </c>
      <c r="AG85" s="1">
        <f t="shared" si="17"/>
        <v>43131</v>
      </c>
      <c r="AH85" s="1">
        <v>43131</v>
      </c>
      <c r="AI85">
        <v>59.4</v>
      </c>
    </row>
    <row r="86" spans="1:35" x14ac:dyDescent="0.25">
      <c r="A86" s="1">
        <f t="shared" si="9"/>
        <v>42794</v>
      </c>
      <c r="B86" s="1">
        <v>42794</v>
      </c>
      <c r="C86">
        <v>53.9634</v>
      </c>
      <c r="E86" s="1">
        <f t="shared" si="10"/>
        <v>43434</v>
      </c>
      <c r="F86" s="1">
        <v>43434</v>
      </c>
      <c r="G86">
        <v>64.709999999999994</v>
      </c>
      <c r="I86" s="1">
        <f t="shared" si="11"/>
        <v>42794</v>
      </c>
      <c r="J86" s="1">
        <v>42794</v>
      </c>
      <c r="K86">
        <v>270.39999999999998</v>
      </c>
      <c r="M86" s="1">
        <f t="shared" si="12"/>
        <v>42794</v>
      </c>
      <c r="N86" s="1">
        <v>42794</v>
      </c>
      <c r="O86">
        <v>1924</v>
      </c>
      <c r="Q86" s="1">
        <f t="shared" si="13"/>
        <v>42794</v>
      </c>
      <c r="R86" s="1">
        <v>42794</v>
      </c>
      <c r="S86">
        <v>0.76570000000000005</v>
      </c>
      <c r="U86" s="1">
        <f t="shared" si="14"/>
        <v>42794</v>
      </c>
      <c r="V86" s="1">
        <v>42794</v>
      </c>
      <c r="W86">
        <v>2363.64</v>
      </c>
      <c r="Y86" s="1">
        <f t="shared" si="15"/>
        <v>43220</v>
      </c>
      <c r="Z86" s="1">
        <v>43220</v>
      </c>
      <c r="AA86">
        <v>76.7</v>
      </c>
      <c r="AC86" s="1">
        <f t="shared" si="16"/>
        <v>42794</v>
      </c>
      <c r="AD86" s="1">
        <v>42794</v>
      </c>
      <c r="AE86">
        <v>137.6</v>
      </c>
      <c r="AG86" s="1">
        <f t="shared" si="17"/>
        <v>43159</v>
      </c>
      <c r="AH86" s="1">
        <v>43159</v>
      </c>
      <c r="AI86">
        <v>60.9</v>
      </c>
    </row>
    <row r="87" spans="1:35" x14ac:dyDescent="0.25">
      <c r="A87" s="1">
        <f t="shared" si="9"/>
        <v>42825</v>
      </c>
      <c r="B87" s="1">
        <v>42825</v>
      </c>
      <c r="C87">
        <v>52.871699999999997</v>
      </c>
      <c r="E87" s="1">
        <f t="shared" si="10"/>
        <v>43465</v>
      </c>
      <c r="F87" s="1">
        <v>43465</v>
      </c>
      <c r="G87">
        <v>70.58</v>
      </c>
      <c r="I87" s="1">
        <f t="shared" si="11"/>
        <v>42825</v>
      </c>
      <c r="J87" s="1">
        <v>42825</v>
      </c>
      <c r="K87">
        <v>265.25</v>
      </c>
      <c r="M87" s="1">
        <f t="shared" si="12"/>
        <v>42825</v>
      </c>
      <c r="N87" s="1">
        <v>42825</v>
      </c>
      <c r="O87">
        <v>1962.5</v>
      </c>
      <c r="Q87" s="1">
        <f t="shared" si="13"/>
        <v>42825</v>
      </c>
      <c r="R87" s="1">
        <v>42825</v>
      </c>
      <c r="S87">
        <v>0.76290000000000002</v>
      </c>
      <c r="U87" s="1">
        <f t="shared" si="14"/>
        <v>42825</v>
      </c>
      <c r="V87" s="1">
        <v>42825</v>
      </c>
      <c r="W87">
        <v>2362.7199999999998</v>
      </c>
      <c r="Y87" s="1">
        <f t="shared" si="15"/>
        <v>43251</v>
      </c>
      <c r="Z87" s="1">
        <v>43251</v>
      </c>
      <c r="AA87">
        <v>81.13</v>
      </c>
      <c r="AC87" s="1">
        <f t="shared" si="16"/>
        <v>42825</v>
      </c>
      <c r="AD87" s="1">
        <v>42825</v>
      </c>
      <c r="AE87">
        <v>182.1</v>
      </c>
      <c r="AG87" s="1">
        <f t="shared" si="17"/>
        <v>43190</v>
      </c>
      <c r="AH87" s="1">
        <v>43190</v>
      </c>
      <c r="AI87">
        <v>58.8</v>
      </c>
    </row>
    <row r="88" spans="1:35" x14ac:dyDescent="0.25">
      <c r="A88" s="1">
        <f t="shared" si="9"/>
        <v>42855</v>
      </c>
      <c r="B88" s="1">
        <v>42853</v>
      </c>
      <c r="C88">
        <v>51.753999999999998</v>
      </c>
      <c r="E88" s="1">
        <f t="shared" si="10"/>
        <v>43496</v>
      </c>
      <c r="F88" s="1">
        <v>43496</v>
      </c>
      <c r="G88">
        <v>79.27</v>
      </c>
      <c r="I88" s="1">
        <f t="shared" si="11"/>
        <v>42855</v>
      </c>
      <c r="J88" s="1">
        <v>42853</v>
      </c>
      <c r="K88">
        <v>259.64999999999998</v>
      </c>
      <c r="M88" s="1">
        <f t="shared" si="12"/>
        <v>42855</v>
      </c>
      <c r="N88" s="1">
        <v>42853</v>
      </c>
      <c r="O88">
        <v>1911.5</v>
      </c>
      <c r="Q88" s="1">
        <f t="shared" si="13"/>
        <v>42855</v>
      </c>
      <c r="R88" s="1">
        <v>42853</v>
      </c>
      <c r="S88">
        <v>0.74880000000000002</v>
      </c>
      <c r="U88" s="1">
        <f t="shared" si="14"/>
        <v>42855</v>
      </c>
      <c r="V88" s="1">
        <v>42853</v>
      </c>
      <c r="W88">
        <v>2384.1999999999998</v>
      </c>
      <c r="Y88" s="1">
        <f t="shared" si="15"/>
        <v>43281</v>
      </c>
      <c r="Z88" s="1">
        <v>43281</v>
      </c>
      <c r="AA88">
        <v>80.2</v>
      </c>
      <c r="AC88" s="1">
        <f t="shared" si="16"/>
        <v>42855</v>
      </c>
      <c r="AD88" s="1">
        <v>42855</v>
      </c>
      <c r="AE88">
        <v>166.2</v>
      </c>
      <c r="AG88" s="1">
        <f t="shared" si="17"/>
        <v>43220</v>
      </c>
      <c r="AH88" s="1">
        <v>43220</v>
      </c>
      <c r="AI88">
        <v>58.6</v>
      </c>
    </row>
    <row r="89" spans="1:35" x14ac:dyDescent="0.25">
      <c r="A89" s="1">
        <f t="shared" si="9"/>
        <v>42886</v>
      </c>
      <c r="B89" s="1">
        <v>42886</v>
      </c>
      <c r="C89">
        <v>52.390799999999999</v>
      </c>
      <c r="E89" s="1">
        <f t="shared" si="10"/>
        <v>43524</v>
      </c>
      <c r="F89" s="1">
        <v>43524</v>
      </c>
      <c r="G89">
        <v>81.61</v>
      </c>
      <c r="I89" s="1">
        <f t="shared" si="11"/>
        <v>42886</v>
      </c>
      <c r="J89" s="1">
        <v>42886</v>
      </c>
      <c r="K89">
        <v>258</v>
      </c>
      <c r="M89" s="1">
        <f t="shared" si="12"/>
        <v>42886</v>
      </c>
      <c r="N89" s="1">
        <v>42886</v>
      </c>
      <c r="O89">
        <v>1928</v>
      </c>
      <c r="Q89" s="1">
        <f t="shared" si="13"/>
        <v>42886</v>
      </c>
      <c r="R89" s="1">
        <v>42886</v>
      </c>
      <c r="S89">
        <v>0.74299999999999999</v>
      </c>
      <c r="U89" s="1">
        <f t="shared" si="14"/>
        <v>42886</v>
      </c>
      <c r="V89" s="1">
        <v>42886</v>
      </c>
      <c r="W89">
        <v>2411.8000000000002</v>
      </c>
      <c r="Y89" s="1">
        <f t="shared" si="15"/>
        <v>43312</v>
      </c>
      <c r="Z89" s="1">
        <v>43312</v>
      </c>
      <c r="AA89">
        <v>81.239999999999995</v>
      </c>
      <c r="AC89" s="1">
        <f t="shared" si="16"/>
        <v>42886</v>
      </c>
      <c r="AD89" s="1">
        <v>42886</v>
      </c>
      <c r="AE89">
        <v>174</v>
      </c>
      <c r="AG89" s="1">
        <f t="shared" si="17"/>
        <v>43251</v>
      </c>
      <c r="AH89" s="1">
        <v>43251</v>
      </c>
      <c r="AI89">
        <v>59</v>
      </c>
    </row>
    <row r="90" spans="1:35" x14ac:dyDescent="0.25">
      <c r="A90" s="1">
        <f t="shared" si="9"/>
        <v>42916</v>
      </c>
      <c r="B90" s="1">
        <v>42916</v>
      </c>
      <c r="C90">
        <v>54.990200000000002</v>
      </c>
      <c r="E90" s="1">
        <f t="shared" si="10"/>
        <v>43555</v>
      </c>
      <c r="F90" s="1">
        <v>43555</v>
      </c>
      <c r="G90">
        <v>82.06</v>
      </c>
      <c r="I90" s="1">
        <f t="shared" si="11"/>
        <v>42916</v>
      </c>
      <c r="J90" s="1">
        <v>42916</v>
      </c>
      <c r="K90">
        <v>269.89999999999998</v>
      </c>
      <c r="M90" s="1">
        <f t="shared" si="12"/>
        <v>42916</v>
      </c>
      <c r="N90" s="1">
        <v>42916</v>
      </c>
      <c r="O90">
        <v>1919</v>
      </c>
      <c r="Q90" s="1">
        <f t="shared" si="13"/>
        <v>42916</v>
      </c>
      <c r="R90" s="1">
        <v>42916</v>
      </c>
      <c r="S90">
        <v>0.76890000000000003</v>
      </c>
      <c r="U90" s="1">
        <f t="shared" si="14"/>
        <v>42916</v>
      </c>
      <c r="V90" s="1">
        <v>42916</v>
      </c>
      <c r="W90">
        <v>2423.41</v>
      </c>
      <c r="Y90" s="1">
        <f t="shared" si="15"/>
        <v>43343</v>
      </c>
      <c r="Z90" s="1">
        <v>43343</v>
      </c>
      <c r="AA90">
        <v>80.33</v>
      </c>
      <c r="AC90" s="1">
        <f t="shared" si="16"/>
        <v>42916</v>
      </c>
      <c r="AD90" s="1">
        <v>42916</v>
      </c>
      <c r="AE90">
        <v>196.9</v>
      </c>
      <c r="AG90" s="1">
        <f t="shared" si="17"/>
        <v>43281</v>
      </c>
      <c r="AH90" s="1">
        <v>43281</v>
      </c>
      <c r="AI90">
        <v>59.9</v>
      </c>
    </row>
    <row r="91" spans="1:35" x14ac:dyDescent="0.25">
      <c r="A91" s="1">
        <f t="shared" si="9"/>
        <v>42947</v>
      </c>
      <c r="B91" s="1">
        <v>42947</v>
      </c>
      <c r="C91">
        <v>61.579700000000003</v>
      </c>
      <c r="E91" s="1">
        <f t="shared" si="10"/>
        <v>43585</v>
      </c>
      <c r="F91" s="1">
        <v>43585</v>
      </c>
      <c r="G91">
        <v>87.99</v>
      </c>
      <c r="I91" s="1">
        <f t="shared" si="11"/>
        <v>42947</v>
      </c>
      <c r="J91" s="1">
        <v>42947</v>
      </c>
      <c r="K91">
        <v>289.14999999999998</v>
      </c>
      <c r="M91" s="1">
        <f t="shared" si="12"/>
        <v>42947</v>
      </c>
      <c r="N91" s="1">
        <v>42947</v>
      </c>
      <c r="O91">
        <v>1918</v>
      </c>
      <c r="Q91" s="1">
        <f t="shared" si="13"/>
        <v>42947</v>
      </c>
      <c r="R91" s="1">
        <v>42947</v>
      </c>
      <c r="S91">
        <v>0.80030000000000001</v>
      </c>
      <c r="U91" s="1">
        <f t="shared" si="14"/>
        <v>42947</v>
      </c>
      <c r="V91" s="1">
        <v>42947</v>
      </c>
      <c r="W91">
        <v>2470.3000000000002</v>
      </c>
      <c r="Y91" s="1">
        <f t="shared" si="15"/>
        <v>43373</v>
      </c>
      <c r="Z91" s="1">
        <v>43373</v>
      </c>
      <c r="AA91">
        <v>80.849999999999994</v>
      </c>
      <c r="AC91" s="1">
        <f t="shared" si="16"/>
        <v>42947</v>
      </c>
      <c r="AD91" s="1">
        <v>42947</v>
      </c>
      <c r="AE91">
        <v>177</v>
      </c>
      <c r="AG91" s="1">
        <f t="shared" si="17"/>
        <v>43312</v>
      </c>
      <c r="AH91" s="1">
        <v>43312</v>
      </c>
      <c r="AI91">
        <v>58.1</v>
      </c>
    </row>
    <row r="92" spans="1:35" x14ac:dyDescent="0.25">
      <c r="A92" s="1">
        <f t="shared" si="9"/>
        <v>42978</v>
      </c>
      <c r="B92" s="1">
        <v>42978</v>
      </c>
      <c r="C92">
        <v>65.322900000000004</v>
      </c>
      <c r="E92" s="1">
        <f t="shared" si="10"/>
        <v>43616</v>
      </c>
      <c r="F92" s="1">
        <v>43616</v>
      </c>
      <c r="G92">
        <v>98.72</v>
      </c>
      <c r="I92" s="1">
        <f t="shared" si="11"/>
        <v>42978</v>
      </c>
      <c r="J92" s="1">
        <v>42978</v>
      </c>
      <c r="K92">
        <v>307.89999999999998</v>
      </c>
      <c r="M92" s="1">
        <f t="shared" si="12"/>
        <v>42978</v>
      </c>
      <c r="N92" s="1">
        <v>42978</v>
      </c>
      <c r="O92">
        <v>2117</v>
      </c>
      <c r="Q92" s="1">
        <f t="shared" si="13"/>
        <v>42978</v>
      </c>
      <c r="R92" s="1">
        <v>42978</v>
      </c>
      <c r="S92">
        <v>0.79469999999999996</v>
      </c>
      <c r="U92" s="1">
        <f t="shared" si="14"/>
        <v>42978</v>
      </c>
      <c r="V92" s="1">
        <v>42978</v>
      </c>
      <c r="W92">
        <v>2471.65</v>
      </c>
      <c r="Y92" s="1">
        <f t="shared" si="15"/>
        <v>43404</v>
      </c>
      <c r="Z92" s="1">
        <v>43404</v>
      </c>
      <c r="AA92">
        <v>82.55</v>
      </c>
      <c r="AC92" s="1">
        <f t="shared" si="16"/>
        <v>42978</v>
      </c>
      <c r="AD92" s="1">
        <v>42978</v>
      </c>
      <c r="AE92">
        <v>177.5</v>
      </c>
      <c r="AG92" s="1">
        <f t="shared" si="17"/>
        <v>43343</v>
      </c>
      <c r="AH92" s="1">
        <v>43343</v>
      </c>
      <c r="AI92">
        <v>60.5</v>
      </c>
    </row>
    <row r="93" spans="1:35" x14ac:dyDescent="0.25">
      <c r="A93" s="1">
        <f t="shared" si="9"/>
        <v>43008</v>
      </c>
      <c r="B93" s="1">
        <v>43007</v>
      </c>
      <c r="C93">
        <v>62.807499999999997</v>
      </c>
      <c r="E93" s="1">
        <f t="shared" si="10"/>
        <v>43646</v>
      </c>
      <c r="F93" s="1">
        <v>43646</v>
      </c>
      <c r="G93">
        <v>112.64</v>
      </c>
      <c r="I93" s="1">
        <f t="shared" si="11"/>
        <v>43008</v>
      </c>
      <c r="J93" s="1">
        <v>43007</v>
      </c>
      <c r="K93">
        <v>295.5</v>
      </c>
      <c r="M93" s="1">
        <f t="shared" si="12"/>
        <v>43008</v>
      </c>
      <c r="N93" s="1">
        <v>43007</v>
      </c>
      <c r="O93">
        <v>2102</v>
      </c>
      <c r="Q93" s="1">
        <f t="shared" si="13"/>
        <v>43008</v>
      </c>
      <c r="R93" s="1">
        <v>43007</v>
      </c>
      <c r="S93">
        <v>0.78339999999999999</v>
      </c>
      <c r="U93" s="1">
        <f t="shared" si="14"/>
        <v>43008</v>
      </c>
      <c r="V93" s="1">
        <v>43007</v>
      </c>
      <c r="W93">
        <v>2519.36</v>
      </c>
      <c r="Y93" s="1">
        <f t="shared" si="15"/>
        <v>43434</v>
      </c>
      <c r="Z93" s="1">
        <v>43434</v>
      </c>
      <c r="AA93">
        <v>77.62</v>
      </c>
      <c r="AC93" s="1">
        <f t="shared" si="16"/>
        <v>43008</v>
      </c>
      <c r="AD93" s="1">
        <v>43008</v>
      </c>
      <c r="AE93">
        <v>191.7</v>
      </c>
      <c r="AG93" s="1">
        <f t="shared" si="17"/>
        <v>43373</v>
      </c>
      <c r="AH93" s="1">
        <v>43373</v>
      </c>
      <c r="AI93">
        <v>59.3</v>
      </c>
    </row>
    <row r="94" spans="1:35" x14ac:dyDescent="0.25">
      <c r="A94" s="1">
        <f t="shared" si="9"/>
        <v>43039</v>
      </c>
      <c r="B94" s="1">
        <v>43039</v>
      </c>
      <c r="C94">
        <v>63.792400000000001</v>
      </c>
      <c r="E94" s="1">
        <f t="shared" si="10"/>
        <v>43677</v>
      </c>
      <c r="F94" s="1">
        <v>43677</v>
      </c>
      <c r="G94">
        <v>117.05</v>
      </c>
      <c r="I94" s="1">
        <f t="shared" si="11"/>
        <v>43039</v>
      </c>
      <c r="J94" s="1">
        <v>43039</v>
      </c>
      <c r="K94">
        <v>310.10000000000002</v>
      </c>
      <c r="M94" s="1">
        <f t="shared" si="12"/>
        <v>43039</v>
      </c>
      <c r="N94" s="1">
        <v>43039</v>
      </c>
      <c r="O94">
        <v>2160</v>
      </c>
      <c r="Q94" s="1">
        <f t="shared" si="13"/>
        <v>43039</v>
      </c>
      <c r="R94" s="1">
        <v>43039</v>
      </c>
      <c r="S94">
        <v>0.76559999999999995</v>
      </c>
      <c r="U94" s="1">
        <f t="shared" si="14"/>
        <v>43039</v>
      </c>
      <c r="V94" s="1">
        <v>43039</v>
      </c>
      <c r="W94">
        <v>2575.2600000000002</v>
      </c>
      <c r="Y94" s="1">
        <f t="shared" si="15"/>
        <v>43465</v>
      </c>
      <c r="Z94" s="1">
        <v>43465</v>
      </c>
      <c r="AA94">
        <v>76.12</v>
      </c>
      <c r="AC94" s="1">
        <f t="shared" si="16"/>
        <v>43039</v>
      </c>
      <c r="AD94" s="1">
        <v>43039</v>
      </c>
      <c r="AE94">
        <v>185.7</v>
      </c>
      <c r="AG94" s="1">
        <f t="shared" si="17"/>
        <v>43404</v>
      </c>
      <c r="AH94" s="1">
        <v>43404</v>
      </c>
      <c r="AI94">
        <v>58.1</v>
      </c>
    </row>
    <row r="95" spans="1:35" x14ac:dyDescent="0.25">
      <c r="A95" s="1">
        <f t="shared" si="9"/>
        <v>43069</v>
      </c>
      <c r="B95" s="1">
        <v>43069</v>
      </c>
      <c r="C95">
        <v>63.752400000000002</v>
      </c>
      <c r="E95" s="1">
        <f t="shared" si="10"/>
        <v>43708</v>
      </c>
      <c r="F95" s="1">
        <v>43708</v>
      </c>
      <c r="G95">
        <v>87.77</v>
      </c>
      <c r="I95" s="1">
        <f t="shared" si="11"/>
        <v>43069</v>
      </c>
      <c r="J95" s="1">
        <v>43069</v>
      </c>
      <c r="K95">
        <v>303.7</v>
      </c>
      <c r="M95" s="1">
        <f t="shared" si="12"/>
        <v>43069</v>
      </c>
      <c r="N95" s="1">
        <v>43069</v>
      </c>
      <c r="O95">
        <v>2048</v>
      </c>
      <c r="Q95" s="1">
        <f t="shared" si="13"/>
        <v>43069</v>
      </c>
      <c r="R95" s="1">
        <v>43069</v>
      </c>
      <c r="S95">
        <v>0.75660000000000005</v>
      </c>
      <c r="U95" s="1">
        <f t="shared" si="14"/>
        <v>43069</v>
      </c>
      <c r="V95" s="1">
        <v>43069</v>
      </c>
      <c r="W95">
        <v>2647.58</v>
      </c>
      <c r="Y95" s="1">
        <f t="shared" si="15"/>
        <v>43555</v>
      </c>
      <c r="Z95" s="1">
        <v>43555</v>
      </c>
      <c r="AA95">
        <v>80.33</v>
      </c>
      <c r="AC95" s="1">
        <f t="shared" si="16"/>
        <v>43069</v>
      </c>
      <c r="AD95" s="1">
        <v>43069</v>
      </c>
      <c r="AE95">
        <v>194.9</v>
      </c>
      <c r="AG95" s="1">
        <f t="shared" si="17"/>
        <v>43434</v>
      </c>
      <c r="AH95" s="1">
        <v>43434</v>
      </c>
      <c r="AI95">
        <v>58.6</v>
      </c>
    </row>
    <row r="96" spans="1:35" x14ac:dyDescent="0.25">
      <c r="A96" s="1">
        <f t="shared" si="9"/>
        <v>43100</v>
      </c>
      <c r="B96" s="1">
        <v>43098</v>
      </c>
      <c r="C96">
        <v>70.447100000000006</v>
      </c>
      <c r="E96" s="1">
        <f t="shared" si="10"/>
        <v>43738</v>
      </c>
      <c r="F96" s="1">
        <v>43738</v>
      </c>
      <c r="G96">
        <v>92.98</v>
      </c>
      <c r="I96" s="1">
        <f t="shared" si="11"/>
        <v>43100</v>
      </c>
      <c r="J96" s="1">
        <v>43098</v>
      </c>
      <c r="K96">
        <v>330.05</v>
      </c>
      <c r="M96" s="1">
        <f t="shared" si="12"/>
        <v>43100</v>
      </c>
      <c r="N96" s="1">
        <v>43098</v>
      </c>
      <c r="O96">
        <v>2268</v>
      </c>
      <c r="Q96" s="1">
        <f t="shared" si="13"/>
        <v>43100</v>
      </c>
      <c r="R96" s="1">
        <v>43098</v>
      </c>
      <c r="S96">
        <v>0.78090000000000004</v>
      </c>
      <c r="U96" s="1">
        <f t="shared" si="14"/>
        <v>43100</v>
      </c>
      <c r="V96" s="1">
        <v>43098</v>
      </c>
      <c r="W96">
        <v>2673.61</v>
      </c>
      <c r="Y96" s="1">
        <f t="shared" si="15"/>
        <v>43585</v>
      </c>
      <c r="Z96" s="1">
        <v>43585</v>
      </c>
      <c r="AA96">
        <v>85.03</v>
      </c>
      <c r="AC96" s="1">
        <f t="shared" si="16"/>
        <v>43100</v>
      </c>
      <c r="AD96" s="1">
        <v>43100</v>
      </c>
      <c r="AE96">
        <v>209.5</v>
      </c>
      <c r="AG96" s="1">
        <f t="shared" si="17"/>
        <v>43465</v>
      </c>
      <c r="AH96" s="1">
        <v>43465</v>
      </c>
      <c r="AI96">
        <v>54.9</v>
      </c>
    </row>
    <row r="97" spans="1:35" x14ac:dyDescent="0.25">
      <c r="A97" s="1">
        <f t="shared" si="9"/>
        <v>43131</v>
      </c>
      <c r="B97" s="1">
        <v>43131</v>
      </c>
      <c r="C97">
        <v>74.679500000000004</v>
      </c>
      <c r="E97" s="1">
        <f t="shared" si="10"/>
        <v>43769</v>
      </c>
      <c r="F97" s="1">
        <v>43769</v>
      </c>
      <c r="G97">
        <v>84.72</v>
      </c>
      <c r="I97" s="1">
        <f t="shared" si="11"/>
        <v>43131</v>
      </c>
      <c r="J97" s="1">
        <v>43131</v>
      </c>
      <c r="K97">
        <v>319.55</v>
      </c>
      <c r="M97" s="1">
        <f t="shared" si="12"/>
        <v>43131</v>
      </c>
      <c r="N97" s="1">
        <v>43131</v>
      </c>
      <c r="O97">
        <v>2219.5</v>
      </c>
      <c r="Q97" s="1">
        <f t="shared" si="13"/>
        <v>43131</v>
      </c>
      <c r="R97" s="1">
        <v>43131</v>
      </c>
      <c r="S97">
        <v>0.80549999999999999</v>
      </c>
      <c r="U97" s="1">
        <f t="shared" si="14"/>
        <v>43131</v>
      </c>
      <c r="V97" s="1">
        <v>43131</v>
      </c>
      <c r="W97">
        <v>2823.81</v>
      </c>
      <c r="Y97" s="1">
        <f t="shared" si="15"/>
        <v>43616</v>
      </c>
      <c r="Z97" s="1">
        <v>43616</v>
      </c>
      <c r="AA97">
        <v>89.09</v>
      </c>
      <c r="AC97" s="1">
        <f t="shared" si="16"/>
        <v>43131</v>
      </c>
      <c r="AD97" s="1">
        <v>43131</v>
      </c>
      <c r="AE97">
        <v>179</v>
      </c>
      <c r="AG97" s="1">
        <f t="shared" si="17"/>
        <v>43496</v>
      </c>
      <c r="AH97" s="1">
        <v>43496</v>
      </c>
      <c r="AI97">
        <v>55.7</v>
      </c>
    </row>
    <row r="98" spans="1:35" x14ac:dyDescent="0.25">
      <c r="A98" s="1">
        <f t="shared" si="9"/>
        <v>43159</v>
      </c>
      <c r="B98" s="1">
        <v>43159</v>
      </c>
      <c r="C98">
        <v>72.816199999999995</v>
      </c>
      <c r="E98" s="1">
        <f t="shared" si="10"/>
        <v>43799</v>
      </c>
      <c r="F98" s="1">
        <v>43799</v>
      </c>
      <c r="G98">
        <v>83.8</v>
      </c>
      <c r="I98" s="1">
        <f t="shared" si="11"/>
        <v>43159</v>
      </c>
      <c r="J98" s="1">
        <v>43159</v>
      </c>
      <c r="K98">
        <v>310.75</v>
      </c>
      <c r="M98" s="1">
        <f t="shared" si="12"/>
        <v>43159</v>
      </c>
      <c r="N98" s="1">
        <v>43159</v>
      </c>
      <c r="O98">
        <v>2132</v>
      </c>
      <c r="Q98" s="1">
        <f t="shared" si="13"/>
        <v>43159</v>
      </c>
      <c r="R98" s="1">
        <v>43159</v>
      </c>
      <c r="S98">
        <v>0.7762</v>
      </c>
      <c r="U98" s="1">
        <f t="shared" si="14"/>
        <v>43159</v>
      </c>
      <c r="V98" s="1">
        <v>43159</v>
      </c>
      <c r="W98">
        <v>2713.83</v>
      </c>
      <c r="Y98" s="1">
        <f t="shared" si="15"/>
        <v>43646</v>
      </c>
      <c r="Z98" s="1">
        <v>43646</v>
      </c>
      <c r="AA98">
        <v>87.53</v>
      </c>
      <c r="AC98" s="1">
        <f t="shared" si="16"/>
        <v>43159</v>
      </c>
      <c r="AD98" s="1">
        <v>43159</v>
      </c>
      <c r="AE98">
        <v>134.6</v>
      </c>
      <c r="AG98" s="1">
        <f t="shared" si="17"/>
        <v>43524</v>
      </c>
      <c r="AH98" s="1">
        <v>43524</v>
      </c>
      <c r="AI98">
        <v>54.4</v>
      </c>
    </row>
    <row r="99" spans="1:35" x14ac:dyDescent="0.25">
      <c r="A99" s="1">
        <f t="shared" si="9"/>
        <v>43190</v>
      </c>
      <c r="B99" s="1">
        <v>43189</v>
      </c>
      <c r="C99">
        <v>70.943899999999999</v>
      </c>
      <c r="E99" s="1">
        <f t="shared" si="10"/>
        <v>43830</v>
      </c>
      <c r="F99" s="1">
        <v>43830</v>
      </c>
      <c r="G99">
        <v>85.97</v>
      </c>
      <c r="I99" s="1">
        <f t="shared" si="11"/>
        <v>43190</v>
      </c>
      <c r="J99" s="1">
        <v>43189</v>
      </c>
      <c r="K99">
        <v>302.55</v>
      </c>
      <c r="M99" s="1">
        <f t="shared" si="12"/>
        <v>43190</v>
      </c>
      <c r="N99" s="1">
        <v>43189</v>
      </c>
      <c r="O99">
        <v>2004.5</v>
      </c>
      <c r="Q99" s="1">
        <f t="shared" si="13"/>
        <v>43190</v>
      </c>
      <c r="R99" s="1">
        <v>43189</v>
      </c>
      <c r="S99">
        <v>0.76790000000000003</v>
      </c>
      <c r="U99" s="1">
        <f t="shared" si="14"/>
        <v>43190</v>
      </c>
      <c r="V99" s="1">
        <v>43189</v>
      </c>
      <c r="W99">
        <v>2640.87</v>
      </c>
      <c r="Y99" s="1">
        <f t="shared" si="15"/>
        <v>43677</v>
      </c>
      <c r="Z99" s="1">
        <v>43677</v>
      </c>
      <c r="AA99">
        <v>85.22</v>
      </c>
      <c r="AC99" s="1">
        <f t="shared" si="16"/>
        <v>43190</v>
      </c>
      <c r="AD99" s="1">
        <v>43190</v>
      </c>
      <c r="AE99">
        <v>193.1</v>
      </c>
      <c r="AG99" s="1">
        <f t="shared" si="17"/>
        <v>43555</v>
      </c>
      <c r="AH99" s="1">
        <v>43555</v>
      </c>
      <c r="AI99">
        <v>54.9</v>
      </c>
    </row>
    <row r="100" spans="1:35" x14ac:dyDescent="0.25">
      <c r="A100" s="1">
        <f t="shared" si="9"/>
        <v>43220</v>
      </c>
      <c r="B100" s="1">
        <v>43220</v>
      </c>
      <c r="C100">
        <v>75.6524</v>
      </c>
      <c r="E100" s="1">
        <f t="shared" si="10"/>
        <v>43861</v>
      </c>
      <c r="F100" s="1">
        <v>43861</v>
      </c>
      <c r="G100">
        <v>89.3</v>
      </c>
      <c r="I100" s="1">
        <f t="shared" si="11"/>
        <v>43220</v>
      </c>
      <c r="J100" s="1">
        <v>43220</v>
      </c>
      <c r="K100">
        <v>305.25</v>
      </c>
      <c r="M100" s="1">
        <f t="shared" si="12"/>
        <v>43220</v>
      </c>
      <c r="N100" s="1">
        <v>43220</v>
      </c>
      <c r="O100">
        <v>2255</v>
      </c>
      <c r="Q100" s="1">
        <f t="shared" si="13"/>
        <v>43220</v>
      </c>
      <c r="R100" s="1">
        <v>43220</v>
      </c>
      <c r="S100">
        <v>0.753</v>
      </c>
      <c r="U100" s="1">
        <f t="shared" si="14"/>
        <v>43220</v>
      </c>
      <c r="V100" s="1">
        <v>43220</v>
      </c>
      <c r="W100">
        <v>2648.05</v>
      </c>
      <c r="Y100" s="1">
        <f t="shared" si="15"/>
        <v>43708</v>
      </c>
      <c r="Z100" s="1">
        <v>43708</v>
      </c>
      <c r="AA100">
        <v>87.25</v>
      </c>
      <c r="AC100" s="1">
        <f t="shared" si="16"/>
        <v>43220</v>
      </c>
      <c r="AD100" s="1">
        <v>43220</v>
      </c>
      <c r="AE100">
        <v>177.9</v>
      </c>
      <c r="AG100" s="1">
        <f t="shared" si="17"/>
        <v>43585</v>
      </c>
      <c r="AH100" s="1">
        <v>43585</v>
      </c>
      <c r="AI100">
        <v>53.6</v>
      </c>
    </row>
    <row r="101" spans="1:35" x14ac:dyDescent="0.25">
      <c r="A101" s="1">
        <f t="shared" si="9"/>
        <v>43251</v>
      </c>
      <c r="B101" s="1">
        <v>43251</v>
      </c>
      <c r="C101">
        <v>78.061700000000002</v>
      </c>
      <c r="E101" s="1">
        <f t="shared" si="10"/>
        <v>43890</v>
      </c>
      <c r="F101" s="1">
        <v>43890</v>
      </c>
      <c r="G101">
        <v>80.099999999999994</v>
      </c>
      <c r="I101" s="1">
        <f t="shared" si="11"/>
        <v>43251</v>
      </c>
      <c r="J101" s="1">
        <v>43251</v>
      </c>
      <c r="K101">
        <v>306.5</v>
      </c>
      <c r="M101" s="1">
        <f t="shared" si="12"/>
        <v>43251</v>
      </c>
      <c r="N101" s="1">
        <v>43251</v>
      </c>
      <c r="O101">
        <v>2292</v>
      </c>
      <c r="Q101" s="1">
        <f t="shared" si="13"/>
        <v>43251</v>
      </c>
      <c r="R101" s="1">
        <v>43251</v>
      </c>
      <c r="S101">
        <v>0.75680000000000003</v>
      </c>
      <c r="U101" s="1">
        <f t="shared" si="14"/>
        <v>43251</v>
      </c>
      <c r="V101" s="1">
        <v>43251</v>
      </c>
      <c r="W101">
        <v>2705.27</v>
      </c>
      <c r="Y101" s="1">
        <f t="shared" si="15"/>
        <v>43738</v>
      </c>
      <c r="Z101" s="1">
        <v>43738</v>
      </c>
      <c r="AA101">
        <v>82.77</v>
      </c>
      <c r="AC101" s="1">
        <f t="shared" si="16"/>
        <v>43251</v>
      </c>
      <c r="AD101" s="1">
        <v>43251</v>
      </c>
      <c r="AE101">
        <v>185.8</v>
      </c>
      <c r="AG101" s="1">
        <f t="shared" si="17"/>
        <v>43616</v>
      </c>
      <c r="AH101" s="1">
        <v>43616</v>
      </c>
      <c r="AI101">
        <v>52.6</v>
      </c>
    </row>
    <row r="102" spans="1:35" x14ac:dyDescent="0.25">
      <c r="A102" s="1">
        <f t="shared" si="9"/>
        <v>43281</v>
      </c>
      <c r="B102" s="1">
        <v>43280</v>
      </c>
      <c r="C102">
        <v>76.382099999999994</v>
      </c>
      <c r="E102" s="1">
        <f t="shared" si="10"/>
        <v>43921</v>
      </c>
      <c r="F102" s="1">
        <v>43921</v>
      </c>
      <c r="G102">
        <v>80.650000000000006</v>
      </c>
      <c r="I102" s="1">
        <f t="shared" si="11"/>
        <v>43281</v>
      </c>
      <c r="J102" s="1">
        <v>43280</v>
      </c>
      <c r="K102">
        <v>295.10000000000002</v>
      </c>
      <c r="M102" s="1">
        <f t="shared" si="12"/>
        <v>43281</v>
      </c>
      <c r="N102" s="1">
        <v>43280</v>
      </c>
      <c r="O102">
        <v>2133</v>
      </c>
      <c r="Q102" s="1">
        <f t="shared" si="13"/>
        <v>43281</v>
      </c>
      <c r="R102" s="1">
        <v>43280</v>
      </c>
      <c r="S102">
        <v>0.74050000000000005</v>
      </c>
      <c r="U102" s="1">
        <f t="shared" si="14"/>
        <v>43281</v>
      </c>
      <c r="V102" s="1">
        <v>43280</v>
      </c>
      <c r="W102">
        <v>2718.37</v>
      </c>
      <c r="Y102" s="1">
        <f t="shared" si="15"/>
        <v>43769</v>
      </c>
      <c r="Z102" s="1">
        <v>43769</v>
      </c>
      <c r="AA102">
        <v>81.52</v>
      </c>
      <c r="AC102" s="1">
        <f t="shared" si="16"/>
        <v>43281</v>
      </c>
      <c r="AD102" s="1">
        <v>43281</v>
      </c>
      <c r="AE102">
        <v>208.7</v>
      </c>
      <c r="AG102" s="1">
        <f t="shared" si="17"/>
        <v>43646</v>
      </c>
      <c r="AH102" s="1">
        <v>43646</v>
      </c>
      <c r="AI102">
        <v>51.5</v>
      </c>
    </row>
    <row r="103" spans="1:35" x14ac:dyDescent="0.25">
      <c r="A103" s="1">
        <f t="shared" si="9"/>
        <v>43312</v>
      </c>
      <c r="B103" s="1">
        <v>43312</v>
      </c>
      <c r="C103">
        <v>76.409599999999998</v>
      </c>
      <c r="E103" s="1">
        <f t="shared" si="10"/>
        <v>43951</v>
      </c>
      <c r="F103" s="1">
        <v>43951</v>
      </c>
      <c r="G103">
        <v>82.56</v>
      </c>
      <c r="I103" s="1">
        <f t="shared" si="11"/>
        <v>43312</v>
      </c>
      <c r="J103" s="1">
        <v>43312</v>
      </c>
      <c r="K103">
        <v>283.14999999999998</v>
      </c>
      <c r="M103" s="1">
        <f t="shared" si="12"/>
        <v>43312</v>
      </c>
      <c r="N103" s="1">
        <v>43312</v>
      </c>
      <c r="O103">
        <v>2081</v>
      </c>
      <c r="Q103" s="1">
        <f t="shared" si="13"/>
        <v>43312</v>
      </c>
      <c r="R103" s="1">
        <v>43312</v>
      </c>
      <c r="S103">
        <v>0.74239999999999995</v>
      </c>
      <c r="U103" s="1">
        <f t="shared" si="14"/>
        <v>43312</v>
      </c>
      <c r="V103" s="1">
        <v>43312</v>
      </c>
      <c r="W103">
        <v>2816.29</v>
      </c>
      <c r="Y103" s="1">
        <f t="shared" si="15"/>
        <v>43799</v>
      </c>
      <c r="Z103" s="1">
        <v>43799</v>
      </c>
      <c r="AA103">
        <v>80.290000000000006</v>
      </c>
      <c r="AC103" s="1">
        <f t="shared" si="16"/>
        <v>43312</v>
      </c>
      <c r="AD103" s="1">
        <v>43312</v>
      </c>
      <c r="AE103">
        <v>187.6</v>
      </c>
      <c r="AG103" s="1">
        <f t="shared" si="17"/>
        <v>43677</v>
      </c>
      <c r="AH103" s="1">
        <v>43677</v>
      </c>
      <c r="AI103">
        <v>51</v>
      </c>
    </row>
    <row r="104" spans="1:35" x14ac:dyDescent="0.25">
      <c r="A104" s="1">
        <f t="shared" si="9"/>
        <v>43343</v>
      </c>
      <c r="B104" s="1">
        <v>43343</v>
      </c>
      <c r="C104">
        <v>67.790800000000004</v>
      </c>
      <c r="E104" s="1">
        <f t="shared" si="10"/>
        <v>43982</v>
      </c>
      <c r="F104" s="1">
        <v>43982</v>
      </c>
      <c r="G104">
        <v>94.56</v>
      </c>
      <c r="I104" s="1">
        <f t="shared" si="11"/>
        <v>43343</v>
      </c>
      <c r="J104" s="1">
        <v>43343</v>
      </c>
      <c r="K104">
        <v>264.89999999999998</v>
      </c>
      <c r="M104" s="1">
        <f t="shared" si="12"/>
        <v>43343</v>
      </c>
      <c r="N104" s="1">
        <v>43343</v>
      </c>
      <c r="O104">
        <v>2125</v>
      </c>
      <c r="Q104" s="1">
        <f t="shared" si="13"/>
        <v>43343</v>
      </c>
      <c r="R104" s="1">
        <v>43343</v>
      </c>
      <c r="S104">
        <v>0.71889999999999998</v>
      </c>
      <c r="U104" s="1">
        <f t="shared" si="14"/>
        <v>43343</v>
      </c>
      <c r="V104" s="1">
        <v>43343</v>
      </c>
      <c r="W104">
        <v>2901.52</v>
      </c>
      <c r="Y104" s="1">
        <f t="shared" si="15"/>
        <v>43830</v>
      </c>
      <c r="Z104" s="1">
        <v>43830</v>
      </c>
      <c r="AA104">
        <v>84.27</v>
      </c>
      <c r="AC104" s="1">
        <f t="shared" si="16"/>
        <v>43343</v>
      </c>
      <c r="AD104" s="1">
        <v>43343</v>
      </c>
      <c r="AE104">
        <v>188.3</v>
      </c>
      <c r="AG104" s="1">
        <f t="shared" si="17"/>
        <v>43708</v>
      </c>
      <c r="AH104" s="1">
        <v>43708</v>
      </c>
      <c r="AI104">
        <v>48.5</v>
      </c>
    </row>
    <row r="105" spans="1:35" x14ac:dyDescent="0.25">
      <c r="A105" s="1">
        <f t="shared" si="9"/>
        <v>43373</v>
      </c>
      <c r="B105" s="1">
        <v>43371</v>
      </c>
      <c r="C105">
        <v>72.010999999999996</v>
      </c>
      <c r="E105" s="1">
        <f t="shared" si="10"/>
        <v>44012</v>
      </c>
      <c r="F105" s="1">
        <v>44012</v>
      </c>
      <c r="G105">
        <v>98.01</v>
      </c>
      <c r="I105" s="1">
        <f t="shared" si="11"/>
        <v>43373</v>
      </c>
      <c r="J105" s="1">
        <v>43371</v>
      </c>
      <c r="K105">
        <v>280.5</v>
      </c>
      <c r="M105" s="1">
        <f t="shared" si="12"/>
        <v>43373</v>
      </c>
      <c r="N105" s="1">
        <v>43371</v>
      </c>
      <c r="O105">
        <v>2062</v>
      </c>
      <c r="Q105" s="1">
        <f t="shared" si="13"/>
        <v>43373</v>
      </c>
      <c r="R105" s="1">
        <v>43371</v>
      </c>
      <c r="S105">
        <v>0.72240000000000004</v>
      </c>
      <c r="U105" s="1">
        <f t="shared" si="14"/>
        <v>43373</v>
      </c>
      <c r="V105" s="1">
        <v>43371</v>
      </c>
      <c r="W105">
        <v>2913.98</v>
      </c>
      <c r="Y105" s="1">
        <f t="shared" si="15"/>
        <v>43921</v>
      </c>
      <c r="Z105" s="1">
        <v>43921</v>
      </c>
      <c r="AA105">
        <v>78.97</v>
      </c>
      <c r="AC105" s="1">
        <f t="shared" si="16"/>
        <v>43373</v>
      </c>
      <c r="AD105" s="1">
        <v>43373</v>
      </c>
      <c r="AE105">
        <v>202.9</v>
      </c>
      <c r="AG105" s="1">
        <f t="shared" si="17"/>
        <v>43738</v>
      </c>
      <c r="AH105" s="1">
        <v>43738</v>
      </c>
      <c r="AI105">
        <v>48.1</v>
      </c>
    </row>
    <row r="106" spans="1:35" x14ac:dyDescent="0.25">
      <c r="A106" s="1">
        <f t="shared" si="9"/>
        <v>43404</v>
      </c>
      <c r="B106" s="1">
        <v>43404</v>
      </c>
      <c r="C106">
        <v>69.569199999999995</v>
      </c>
      <c r="E106" s="1">
        <f t="shared" si="10"/>
        <v>44043</v>
      </c>
      <c r="F106" s="1">
        <v>44043</v>
      </c>
      <c r="G106">
        <v>109.25</v>
      </c>
      <c r="I106" s="1">
        <f t="shared" si="11"/>
        <v>43404</v>
      </c>
      <c r="J106" s="1">
        <v>43404</v>
      </c>
      <c r="K106">
        <v>265.89999999999998</v>
      </c>
      <c r="M106" s="1">
        <f t="shared" si="12"/>
        <v>43404</v>
      </c>
      <c r="N106" s="1">
        <v>43404</v>
      </c>
      <c r="O106">
        <v>1953.5</v>
      </c>
      <c r="Q106" s="1">
        <f t="shared" si="13"/>
        <v>43404</v>
      </c>
      <c r="R106" s="1">
        <v>43404</v>
      </c>
      <c r="S106">
        <v>0.70730000000000004</v>
      </c>
      <c r="U106" s="1">
        <f t="shared" si="14"/>
        <v>43404</v>
      </c>
      <c r="V106" s="1">
        <v>43404</v>
      </c>
      <c r="W106">
        <v>2711.74</v>
      </c>
      <c r="Y106" s="1">
        <f t="shared" si="15"/>
        <v>43951</v>
      </c>
      <c r="Z106" s="1">
        <v>43951</v>
      </c>
      <c r="AA106">
        <v>85.03</v>
      </c>
      <c r="AC106" s="1">
        <f t="shared" si="16"/>
        <v>43404</v>
      </c>
      <c r="AD106" s="1">
        <v>43404</v>
      </c>
      <c r="AE106">
        <v>196.7</v>
      </c>
      <c r="AG106" s="1">
        <f t="shared" si="17"/>
        <v>43769</v>
      </c>
      <c r="AH106" s="1">
        <v>43769</v>
      </c>
      <c r="AI106">
        <v>48.1</v>
      </c>
    </row>
    <row r="107" spans="1:35" x14ac:dyDescent="0.25">
      <c r="A107" s="1">
        <f t="shared" si="9"/>
        <v>43434</v>
      </c>
      <c r="B107" s="1">
        <v>43434</v>
      </c>
      <c r="C107">
        <v>65.9983</v>
      </c>
      <c r="E107" s="1">
        <f t="shared" si="10"/>
        <v>44074</v>
      </c>
      <c r="F107" s="1">
        <v>44074</v>
      </c>
      <c r="G107">
        <v>125.84</v>
      </c>
      <c r="I107" s="1">
        <f t="shared" si="11"/>
        <v>43434</v>
      </c>
      <c r="J107" s="1">
        <v>43434</v>
      </c>
      <c r="K107">
        <v>277.75</v>
      </c>
      <c r="M107" s="1">
        <f t="shared" si="12"/>
        <v>43434</v>
      </c>
      <c r="N107" s="1">
        <v>43434</v>
      </c>
      <c r="O107">
        <v>1958</v>
      </c>
      <c r="Q107" s="1">
        <f t="shared" si="13"/>
        <v>43434</v>
      </c>
      <c r="R107" s="1">
        <v>43434</v>
      </c>
      <c r="S107">
        <v>0.73060000000000003</v>
      </c>
      <c r="U107" s="1">
        <f t="shared" si="14"/>
        <v>43434</v>
      </c>
      <c r="V107" s="1">
        <v>43434</v>
      </c>
      <c r="W107">
        <v>2760.17</v>
      </c>
      <c r="Y107" s="1">
        <f t="shared" si="15"/>
        <v>43982</v>
      </c>
      <c r="Z107" s="1">
        <v>43982</v>
      </c>
      <c r="AA107">
        <v>92.27</v>
      </c>
      <c r="AC107" s="1">
        <f t="shared" si="16"/>
        <v>43434</v>
      </c>
      <c r="AD107" s="1">
        <v>43434</v>
      </c>
      <c r="AE107">
        <v>205.4</v>
      </c>
      <c r="AG107" s="1">
        <f t="shared" si="17"/>
        <v>43799</v>
      </c>
      <c r="AH107" s="1">
        <v>43799</v>
      </c>
      <c r="AI107">
        <v>48.1</v>
      </c>
    </row>
    <row r="108" spans="1:35" x14ac:dyDescent="0.25">
      <c r="A108" s="1">
        <f t="shared" si="9"/>
        <v>43465</v>
      </c>
      <c r="B108" s="1">
        <v>43465</v>
      </c>
      <c r="C108">
        <v>68.425899999999999</v>
      </c>
      <c r="E108" s="1">
        <f t="shared" si="10"/>
        <v>44104</v>
      </c>
      <c r="F108" s="1">
        <v>44104</v>
      </c>
      <c r="G108">
        <v>120.21</v>
      </c>
      <c r="I108" s="1">
        <f t="shared" si="11"/>
        <v>43465</v>
      </c>
      <c r="J108" s="1">
        <v>43465</v>
      </c>
      <c r="K108">
        <v>263.10000000000002</v>
      </c>
      <c r="M108" s="1">
        <f t="shared" si="12"/>
        <v>43465</v>
      </c>
      <c r="N108" s="1">
        <v>43465</v>
      </c>
      <c r="O108">
        <v>1846</v>
      </c>
      <c r="Q108" s="1">
        <f t="shared" si="13"/>
        <v>43465</v>
      </c>
      <c r="R108" s="1">
        <v>43465</v>
      </c>
      <c r="S108">
        <v>0.70489999999999997</v>
      </c>
      <c r="U108" s="1">
        <f t="shared" si="14"/>
        <v>43465</v>
      </c>
      <c r="V108" s="1">
        <v>43465</v>
      </c>
      <c r="W108">
        <v>2506.85</v>
      </c>
      <c r="Y108" s="1">
        <f t="shared" si="15"/>
        <v>44012</v>
      </c>
      <c r="Z108" s="1">
        <v>44012</v>
      </c>
      <c r="AA108">
        <v>91.58</v>
      </c>
      <c r="AC108" s="1">
        <f t="shared" si="16"/>
        <v>43465</v>
      </c>
      <c r="AD108" s="1">
        <v>43465</v>
      </c>
      <c r="AE108">
        <v>221.4</v>
      </c>
      <c r="AG108" s="1">
        <f t="shared" si="17"/>
        <v>43830</v>
      </c>
      <c r="AH108" s="1">
        <v>43830</v>
      </c>
      <c r="AI108">
        <v>47.9</v>
      </c>
    </row>
    <row r="109" spans="1:35" x14ac:dyDescent="0.25">
      <c r="A109" s="1">
        <f t="shared" si="9"/>
        <v>43496</v>
      </c>
      <c r="B109" s="1">
        <v>43496</v>
      </c>
      <c r="C109">
        <v>79.421000000000006</v>
      </c>
      <c r="E109" s="1">
        <f t="shared" si="10"/>
        <v>44135</v>
      </c>
      <c r="F109" s="1">
        <v>44135</v>
      </c>
      <c r="G109">
        <v>117.15</v>
      </c>
      <c r="I109" s="1">
        <f t="shared" si="11"/>
        <v>43496</v>
      </c>
      <c r="J109" s="1">
        <v>43496</v>
      </c>
      <c r="K109">
        <v>278.45</v>
      </c>
      <c r="M109" s="1">
        <f t="shared" si="12"/>
        <v>43496</v>
      </c>
      <c r="N109" s="1">
        <v>43496</v>
      </c>
      <c r="O109">
        <v>1910</v>
      </c>
      <c r="Q109" s="1">
        <f t="shared" si="13"/>
        <v>43496</v>
      </c>
      <c r="R109" s="1">
        <v>43496</v>
      </c>
      <c r="S109">
        <v>0.72729999999999995</v>
      </c>
      <c r="U109" s="1">
        <f t="shared" si="14"/>
        <v>43496</v>
      </c>
      <c r="V109" s="1">
        <v>43496</v>
      </c>
      <c r="W109">
        <v>2704.1</v>
      </c>
      <c r="Y109" s="1">
        <f t="shared" si="15"/>
        <v>44043</v>
      </c>
      <c r="Z109" s="1">
        <v>44043</v>
      </c>
      <c r="AA109">
        <v>93.36</v>
      </c>
      <c r="AC109" s="1">
        <f t="shared" si="16"/>
        <v>43496</v>
      </c>
      <c r="AD109" s="1">
        <v>43496</v>
      </c>
      <c r="AE109">
        <v>191.1</v>
      </c>
      <c r="AG109" s="1">
        <f t="shared" si="17"/>
        <v>43861</v>
      </c>
      <c r="AH109" s="1">
        <v>43861</v>
      </c>
      <c r="AI109">
        <v>51.4</v>
      </c>
    </row>
    <row r="110" spans="1:35" x14ac:dyDescent="0.25">
      <c r="A110" s="1">
        <f t="shared" si="9"/>
        <v>43524</v>
      </c>
      <c r="B110" s="1">
        <v>43524</v>
      </c>
      <c r="C110">
        <v>82.144999999999996</v>
      </c>
      <c r="E110" s="1">
        <f t="shared" si="10"/>
        <v>44165</v>
      </c>
      <c r="F110" s="1">
        <v>44165</v>
      </c>
      <c r="G110">
        <v>123.6</v>
      </c>
      <c r="I110" s="1">
        <f t="shared" si="11"/>
        <v>43524</v>
      </c>
      <c r="J110" s="1">
        <v>43524</v>
      </c>
      <c r="K110">
        <v>295</v>
      </c>
      <c r="M110" s="1">
        <f t="shared" si="12"/>
        <v>43524</v>
      </c>
      <c r="N110" s="1">
        <v>43524</v>
      </c>
      <c r="O110">
        <v>1911</v>
      </c>
      <c r="Q110" s="1">
        <f t="shared" si="13"/>
        <v>43524</v>
      </c>
      <c r="R110" s="1">
        <v>43524</v>
      </c>
      <c r="S110">
        <v>0.70940000000000003</v>
      </c>
      <c r="U110" s="1">
        <f t="shared" si="14"/>
        <v>43524</v>
      </c>
      <c r="V110" s="1">
        <v>43524</v>
      </c>
      <c r="W110">
        <v>2784.49</v>
      </c>
      <c r="Y110" s="1">
        <f t="shared" si="15"/>
        <v>44074</v>
      </c>
      <c r="Z110" s="1">
        <v>44074</v>
      </c>
      <c r="AA110">
        <v>94.85</v>
      </c>
      <c r="AC110" s="1">
        <f t="shared" si="16"/>
        <v>43524</v>
      </c>
      <c r="AD110" s="1">
        <v>43524</v>
      </c>
      <c r="AE110">
        <v>139.19999999999999</v>
      </c>
      <c r="AG110" s="1">
        <f t="shared" si="17"/>
        <v>43890</v>
      </c>
      <c r="AH110" s="1">
        <v>43890</v>
      </c>
      <c r="AI110">
        <v>50.1</v>
      </c>
    </row>
    <row r="111" spans="1:35" x14ac:dyDescent="0.25">
      <c r="A111" s="1">
        <f t="shared" si="9"/>
        <v>43555</v>
      </c>
      <c r="B111" s="1">
        <v>43553</v>
      </c>
      <c r="C111">
        <v>89.480999999999995</v>
      </c>
      <c r="E111" s="1">
        <f t="shared" si="10"/>
        <v>44196</v>
      </c>
      <c r="F111" s="1">
        <v>44196</v>
      </c>
      <c r="G111">
        <v>152.94</v>
      </c>
      <c r="I111" s="1">
        <f t="shared" si="11"/>
        <v>43555</v>
      </c>
      <c r="J111" s="1">
        <v>43553</v>
      </c>
      <c r="K111">
        <v>293.60000000000002</v>
      </c>
      <c r="M111" s="1">
        <f t="shared" si="12"/>
        <v>43555</v>
      </c>
      <c r="N111" s="1">
        <v>43553</v>
      </c>
      <c r="O111">
        <v>1912</v>
      </c>
      <c r="Q111" s="1">
        <f t="shared" si="13"/>
        <v>43555</v>
      </c>
      <c r="R111" s="1">
        <v>43553</v>
      </c>
      <c r="S111">
        <v>0.70960000000000001</v>
      </c>
      <c r="U111" s="1">
        <f t="shared" si="14"/>
        <v>43555</v>
      </c>
      <c r="V111" s="1">
        <v>43553</v>
      </c>
      <c r="W111">
        <v>2834.4</v>
      </c>
      <c r="Y111" s="1">
        <f t="shared" si="15"/>
        <v>44104</v>
      </c>
      <c r="Z111" s="1">
        <v>44104</v>
      </c>
      <c r="AA111">
        <v>92.56</v>
      </c>
      <c r="AC111" s="1">
        <f t="shared" si="16"/>
        <v>43555</v>
      </c>
      <c r="AD111" s="1">
        <v>43555</v>
      </c>
      <c r="AE111">
        <v>209.4</v>
      </c>
      <c r="AG111" s="1">
        <f t="shared" si="17"/>
        <v>43921</v>
      </c>
      <c r="AH111" s="1">
        <v>43921</v>
      </c>
      <c r="AI111">
        <v>49</v>
      </c>
    </row>
    <row r="112" spans="1:35" x14ac:dyDescent="0.25">
      <c r="A112" s="1">
        <f t="shared" si="9"/>
        <v>43585</v>
      </c>
      <c r="B112" s="1">
        <v>43585</v>
      </c>
      <c r="C112">
        <v>89.557100000000005</v>
      </c>
      <c r="E112" s="1">
        <f t="shared" si="10"/>
        <v>44227</v>
      </c>
      <c r="F112" s="1">
        <v>44227</v>
      </c>
      <c r="G112">
        <v>156.06</v>
      </c>
      <c r="I112" s="1">
        <f t="shared" si="11"/>
        <v>43585</v>
      </c>
      <c r="J112" s="1">
        <v>43585</v>
      </c>
      <c r="K112">
        <v>290.14999999999998</v>
      </c>
      <c r="M112" s="1">
        <f t="shared" si="12"/>
        <v>43585</v>
      </c>
      <c r="N112" s="1">
        <v>43585</v>
      </c>
      <c r="O112">
        <v>1797</v>
      </c>
      <c r="Q112" s="1">
        <f t="shared" si="13"/>
        <v>43585</v>
      </c>
      <c r="R112" s="1">
        <v>43585</v>
      </c>
      <c r="S112">
        <v>0.70479999999999998</v>
      </c>
      <c r="U112" s="1">
        <f t="shared" si="14"/>
        <v>43585</v>
      </c>
      <c r="V112" s="1">
        <v>43585</v>
      </c>
      <c r="W112">
        <v>2945.83</v>
      </c>
      <c r="Y112" s="1">
        <f t="shared" si="15"/>
        <v>44135</v>
      </c>
      <c r="Z112" s="1">
        <v>44135</v>
      </c>
      <c r="AA112">
        <v>92.2</v>
      </c>
      <c r="AC112" s="1">
        <f t="shared" si="16"/>
        <v>43585</v>
      </c>
      <c r="AD112" s="1">
        <v>43585</v>
      </c>
      <c r="AE112">
        <v>187.5</v>
      </c>
      <c r="AG112" s="1">
        <f t="shared" si="17"/>
        <v>43951</v>
      </c>
      <c r="AH112" s="1">
        <v>43951</v>
      </c>
      <c r="AI112">
        <v>41.8</v>
      </c>
    </row>
    <row r="113" spans="1:35" x14ac:dyDescent="0.25">
      <c r="A113" s="1">
        <f t="shared" si="9"/>
        <v>43616</v>
      </c>
      <c r="B113" s="1">
        <v>43616</v>
      </c>
      <c r="C113">
        <v>88.0822</v>
      </c>
      <c r="E113" s="1">
        <f t="shared" si="10"/>
        <v>44255</v>
      </c>
      <c r="F113" s="1">
        <v>44255</v>
      </c>
      <c r="G113">
        <v>165.38</v>
      </c>
      <c r="I113" s="1">
        <f t="shared" si="11"/>
        <v>43616</v>
      </c>
      <c r="J113" s="1">
        <v>43616</v>
      </c>
      <c r="K113">
        <v>264</v>
      </c>
      <c r="M113" s="1">
        <f t="shared" si="12"/>
        <v>43616</v>
      </c>
      <c r="N113" s="1">
        <v>43616</v>
      </c>
      <c r="O113">
        <v>1794.5</v>
      </c>
      <c r="Q113" s="1">
        <f t="shared" si="13"/>
        <v>43616</v>
      </c>
      <c r="R113" s="1">
        <v>43616</v>
      </c>
      <c r="S113">
        <v>0.69379999999999997</v>
      </c>
      <c r="U113" s="1">
        <f t="shared" si="14"/>
        <v>43616</v>
      </c>
      <c r="V113" s="1">
        <v>43616</v>
      </c>
      <c r="W113">
        <v>2752.06</v>
      </c>
      <c r="Y113" s="1">
        <f t="shared" si="15"/>
        <v>44165</v>
      </c>
      <c r="Z113" s="1">
        <v>44165</v>
      </c>
      <c r="AA113">
        <v>87.66</v>
      </c>
      <c r="AC113" s="1">
        <f t="shared" si="16"/>
        <v>43616</v>
      </c>
      <c r="AD113" s="1">
        <v>43616</v>
      </c>
      <c r="AE113">
        <v>195.2</v>
      </c>
      <c r="AG113" s="1">
        <f t="shared" si="17"/>
        <v>43982</v>
      </c>
      <c r="AH113" s="1">
        <v>43982</v>
      </c>
      <c r="AI113">
        <v>43.5</v>
      </c>
    </row>
    <row r="114" spans="1:35" x14ac:dyDescent="0.25">
      <c r="A114" s="1">
        <f t="shared" si="9"/>
        <v>43646</v>
      </c>
      <c r="B114" s="1">
        <v>43644</v>
      </c>
      <c r="C114">
        <v>94.787599999999998</v>
      </c>
      <c r="E114" s="1">
        <f t="shared" si="10"/>
        <v>44286</v>
      </c>
      <c r="F114" s="1">
        <v>44286</v>
      </c>
      <c r="G114">
        <v>154.24</v>
      </c>
      <c r="I114" s="1">
        <f t="shared" si="11"/>
        <v>43646</v>
      </c>
      <c r="J114" s="1">
        <v>43644</v>
      </c>
      <c r="K114">
        <v>270.55</v>
      </c>
      <c r="M114" s="1">
        <f t="shared" si="12"/>
        <v>43646</v>
      </c>
      <c r="N114" s="1">
        <v>43644</v>
      </c>
      <c r="O114">
        <v>1800</v>
      </c>
      <c r="Q114" s="1">
        <f t="shared" si="13"/>
        <v>43646</v>
      </c>
      <c r="R114" s="1">
        <v>43644</v>
      </c>
      <c r="S114">
        <v>0.70199999999999996</v>
      </c>
      <c r="U114" s="1">
        <f t="shared" si="14"/>
        <v>43646</v>
      </c>
      <c r="V114" s="1">
        <v>43644</v>
      </c>
      <c r="W114">
        <v>2941.76</v>
      </c>
      <c r="Y114" s="1">
        <f t="shared" si="15"/>
        <v>44196</v>
      </c>
      <c r="Z114" s="1">
        <v>44196</v>
      </c>
      <c r="AA114">
        <v>91.25</v>
      </c>
      <c r="AC114" s="1">
        <f t="shared" si="16"/>
        <v>43646</v>
      </c>
      <c r="AD114" s="1">
        <v>43646</v>
      </c>
      <c r="AE114">
        <v>221.9</v>
      </c>
      <c r="AG114" s="1">
        <f t="shared" si="17"/>
        <v>44012</v>
      </c>
      <c r="AH114" s="1">
        <v>44012</v>
      </c>
      <c r="AI114">
        <v>52.6</v>
      </c>
    </row>
    <row r="115" spans="1:35" x14ac:dyDescent="0.25">
      <c r="A115" s="1">
        <f t="shared" si="9"/>
        <v>43677</v>
      </c>
      <c r="B115" s="1">
        <v>43677</v>
      </c>
      <c r="C115">
        <v>86.7898</v>
      </c>
      <c r="E115" s="1">
        <f t="shared" si="10"/>
        <v>44316</v>
      </c>
      <c r="F115" s="1">
        <v>44316</v>
      </c>
      <c r="G115">
        <v>184.19</v>
      </c>
      <c r="I115" s="1">
        <f t="shared" si="11"/>
        <v>43677</v>
      </c>
      <c r="J115" s="1">
        <v>43677</v>
      </c>
      <c r="K115">
        <v>266.60000000000002</v>
      </c>
      <c r="M115" s="1">
        <f t="shared" si="12"/>
        <v>43677</v>
      </c>
      <c r="N115" s="1">
        <v>43677</v>
      </c>
      <c r="O115">
        <v>1799</v>
      </c>
      <c r="Q115" s="1">
        <f t="shared" si="13"/>
        <v>43677</v>
      </c>
      <c r="R115" s="1">
        <v>43677</v>
      </c>
      <c r="S115">
        <v>0.6845</v>
      </c>
      <c r="U115" s="1">
        <f t="shared" si="14"/>
        <v>43677</v>
      </c>
      <c r="V115" s="1">
        <v>43677</v>
      </c>
      <c r="W115">
        <v>2980.38</v>
      </c>
      <c r="Y115" s="1">
        <f t="shared" si="15"/>
        <v>44286</v>
      </c>
      <c r="Z115" s="1">
        <v>44286</v>
      </c>
      <c r="AA115">
        <v>94.02</v>
      </c>
      <c r="AC115" s="1">
        <f t="shared" si="16"/>
        <v>43677</v>
      </c>
      <c r="AD115" s="1">
        <v>43677</v>
      </c>
      <c r="AE115">
        <v>196.7</v>
      </c>
      <c r="AG115" s="1">
        <f t="shared" si="17"/>
        <v>44043</v>
      </c>
      <c r="AH115" s="1">
        <v>44043</v>
      </c>
      <c r="AI115">
        <v>53.8</v>
      </c>
    </row>
    <row r="116" spans="1:35" x14ac:dyDescent="0.25">
      <c r="A116" s="1">
        <f t="shared" si="9"/>
        <v>43708</v>
      </c>
      <c r="B116" s="1">
        <v>43707</v>
      </c>
      <c r="C116">
        <v>80.125500000000002</v>
      </c>
      <c r="E116" s="1">
        <f t="shared" si="10"/>
        <v>44347</v>
      </c>
      <c r="F116" s="1">
        <v>44347</v>
      </c>
      <c r="G116">
        <v>200.91</v>
      </c>
      <c r="I116" s="1">
        <f t="shared" si="11"/>
        <v>43708</v>
      </c>
      <c r="J116" s="1">
        <v>43707</v>
      </c>
      <c r="K116">
        <v>253.3</v>
      </c>
      <c r="M116" s="1">
        <f t="shared" si="12"/>
        <v>43708</v>
      </c>
      <c r="N116" s="1">
        <v>43707</v>
      </c>
      <c r="O116">
        <v>1753</v>
      </c>
      <c r="Q116" s="1">
        <f t="shared" si="13"/>
        <v>43708</v>
      </c>
      <c r="R116" s="1">
        <v>43707</v>
      </c>
      <c r="S116">
        <v>0.67330000000000001</v>
      </c>
      <c r="U116" s="1">
        <f t="shared" si="14"/>
        <v>43708</v>
      </c>
      <c r="V116" s="1">
        <v>43707</v>
      </c>
      <c r="W116">
        <v>2926.46</v>
      </c>
      <c r="Y116" s="1">
        <f t="shared" si="15"/>
        <v>44316</v>
      </c>
      <c r="Z116" s="1">
        <v>44316</v>
      </c>
      <c r="AA116">
        <v>97.85</v>
      </c>
      <c r="AC116" s="1">
        <f t="shared" si="16"/>
        <v>43708</v>
      </c>
      <c r="AD116" s="1">
        <v>43708</v>
      </c>
      <c r="AE116">
        <v>196.6</v>
      </c>
      <c r="AG116" s="1">
        <f t="shared" si="17"/>
        <v>44074</v>
      </c>
      <c r="AH116" s="1">
        <v>44074</v>
      </c>
      <c r="AI116">
        <v>55.4</v>
      </c>
    </row>
    <row r="117" spans="1:35" x14ac:dyDescent="0.25">
      <c r="A117" s="1">
        <f t="shared" si="9"/>
        <v>43738</v>
      </c>
      <c r="B117" s="1">
        <v>43738</v>
      </c>
      <c r="C117">
        <v>82.517600000000002</v>
      </c>
      <c r="E117" s="1">
        <f t="shared" si="10"/>
        <v>44377</v>
      </c>
      <c r="F117" s="1">
        <v>44377</v>
      </c>
      <c r="G117">
        <v>211.21</v>
      </c>
      <c r="I117" s="1">
        <f t="shared" si="11"/>
        <v>43738</v>
      </c>
      <c r="J117" s="1">
        <v>43738</v>
      </c>
      <c r="K117">
        <v>257.85000000000002</v>
      </c>
      <c r="M117" s="1">
        <f t="shared" si="12"/>
        <v>43738</v>
      </c>
      <c r="N117" s="1">
        <v>43738</v>
      </c>
      <c r="O117">
        <v>1721.5</v>
      </c>
      <c r="Q117" s="1">
        <f t="shared" si="13"/>
        <v>43738</v>
      </c>
      <c r="R117" s="1">
        <v>43738</v>
      </c>
      <c r="S117">
        <v>0.67500000000000004</v>
      </c>
      <c r="U117" s="1">
        <f t="shared" si="14"/>
        <v>43738</v>
      </c>
      <c r="V117" s="1">
        <v>43738</v>
      </c>
      <c r="W117">
        <v>2976.74</v>
      </c>
      <c r="Y117" s="1">
        <f t="shared" si="15"/>
        <v>44347</v>
      </c>
      <c r="Z117" s="1">
        <v>44347</v>
      </c>
      <c r="AA117">
        <v>99.45</v>
      </c>
      <c r="AC117" s="1">
        <f t="shared" si="16"/>
        <v>43738</v>
      </c>
      <c r="AD117" s="1">
        <v>43738</v>
      </c>
      <c r="AE117">
        <v>214.7</v>
      </c>
      <c r="AG117" s="1">
        <f t="shared" si="17"/>
        <v>44104</v>
      </c>
      <c r="AH117" s="1">
        <v>44104</v>
      </c>
      <c r="AI117">
        <v>55.5</v>
      </c>
    </row>
    <row r="118" spans="1:35" x14ac:dyDescent="0.25">
      <c r="A118" s="1">
        <f t="shared" si="9"/>
        <v>43769</v>
      </c>
      <c r="B118" s="1">
        <v>43769</v>
      </c>
      <c r="C118">
        <v>82.390900000000002</v>
      </c>
      <c r="E118" s="1">
        <f t="shared" si="10"/>
        <v>44408</v>
      </c>
      <c r="F118" s="1">
        <v>44408</v>
      </c>
      <c r="G118">
        <v>178.63</v>
      </c>
      <c r="I118" s="1">
        <f t="shared" si="11"/>
        <v>43769</v>
      </c>
      <c r="J118" s="1">
        <v>43769</v>
      </c>
      <c r="K118">
        <v>263.8</v>
      </c>
      <c r="M118" s="1">
        <f t="shared" si="12"/>
        <v>43769</v>
      </c>
      <c r="N118" s="1">
        <v>43769</v>
      </c>
      <c r="O118">
        <v>1755</v>
      </c>
      <c r="Q118" s="1">
        <f t="shared" si="13"/>
        <v>43769</v>
      </c>
      <c r="R118" s="1">
        <v>43769</v>
      </c>
      <c r="S118">
        <v>0.68940000000000001</v>
      </c>
      <c r="U118" s="1">
        <f t="shared" si="14"/>
        <v>43769</v>
      </c>
      <c r="V118" s="1">
        <v>43769</v>
      </c>
      <c r="W118">
        <v>3037.56</v>
      </c>
      <c r="Y118" s="1">
        <f t="shared" si="15"/>
        <v>44377</v>
      </c>
      <c r="Z118" s="1">
        <v>44377</v>
      </c>
      <c r="AA118">
        <v>93.88</v>
      </c>
      <c r="AC118" s="1">
        <f t="shared" si="16"/>
        <v>43769</v>
      </c>
      <c r="AD118" s="1">
        <v>43769</v>
      </c>
      <c r="AE118">
        <v>205.9</v>
      </c>
      <c r="AG118" s="1">
        <f t="shared" si="17"/>
        <v>44135</v>
      </c>
      <c r="AH118" s="1">
        <v>44135</v>
      </c>
      <c r="AI118">
        <v>58.7</v>
      </c>
    </row>
    <row r="119" spans="1:35" x14ac:dyDescent="0.25">
      <c r="A119" s="1">
        <f t="shared" si="9"/>
        <v>43799</v>
      </c>
      <c r="B119" s="1">
        <v>43798</v>
      </c>
      <c r="C119">
        <v>86.430400000000006</v>
      </c>
      <c r="E119" s="1">
        <f t="shared" si="10"/>
        <v>44439</v>
      </c>
      <c r="F119" s="1">
        <v>44439</v>
      </c>
      <c r="G119">
        <v>153.13999999999999</v>
      </c>
      <c r="I119" s="1">
        <f t="shared" si="11"/>
        <v>43799</v>
      </c>
      <c r="J119" s="1">
        <v>43798</v>
      </c>
      <c r="K119">
        <v>264.2</v>
      </c>
      <c r="M119" s="1">
        <f t="shared" si="12"/>
        <v>43799</v>
      </c>
      <c r="N119" s="1">
        <v>43798</v>
      </c>
      <c r="O119">
        <v>1770</v>
      </c>
      <c r="Q119" s="1">
        <f t="shared" si="13"/>
        <v>43799</v>
      </c>
      <c r="R119" s="1">
        <v>43798</v>
      </c>
      <c r="S119">
        <v>0.67630000000000001</v>
      </c>
      <c r="U119" s="1">
        <f t="shared" si="14"/>
        <v>43799</v>
      </c>
      <c r="V119" s="1">
        <v>43798</v>
      </c>
      <c r="W119">
        <v>3140.98</v>
      </c>
      <c r="Y119" s="1">
        <f t="shared" si="15"/>
        <v>44408</v>
      </c>
      <c r="Z119" s="1">
        <v>44408</v>
      </c>
      <c r="AA119">
        <v>86.79</v>
      </c>
      <c r="AC119" s="1">
        <f t="shared" si="16"/>
        <v>43799</v>
      </c>
      <c r="AD119" s="1">
        <v>43799</v>
      </c>
      <c r="AE119">
        <v>218.2</v>
      </c>
      <c r="AG119" s="1">
        <f t="shared" si="17"/>
        <v>44165</v>
      </c>
      <c r="AH119" s="1">
        <v>44165</v>
      </c>
      <c r="AI119">
        <v>57.3</v>
      </c>
    </row>
    <row r="120" spans="1:35" x14ac:dyDescent="0.25">
      <c r="A120" s="1">
        <f t="shared" si="9"/>
        <v>43830</v>
      </c>
      <c r="B120" s="1">
        <v>43830</v>
      </c>
      <c r="C120">
        <v>94.034199999999998</v>
      </c>
      <c r="E120" s="1">
        <f t="shared" si="10"/>
        <v>44469</v>
      </c>
      <c r="F120" s="1">
        <v>44469</v>
      </c>
      <c r="G120">
        <v>120.43</v>
      </c>
      <c r="I120" s="1">
        <f t="shared" si="11"/>
        <v>43830</v>
      </c>
      <c r="J120" s="1">
        <v>43830</v>
      </c>
      <c r="K120">
        <v>279.7</v>
      </c>
      <c r="M120" s="1">
        <f t="shared" si="12"/>
        <v>43830</v>
      </c>
      <c r="N120" s="1">
        <v>43830</v>
      </c>
      <c r="O120">
        <v>1810</v>
      </c>
      <c r="Q120" s="1">
        <f t="shared" si="13"/>
        <v>43830</v>
      </c>
      <c r="R120" s="1">
        <v>43830</v>
      </c>
      <c r="S120">
        <v>0.70209999999999995</v>
      </c>
      <c r="U120" s="1">
        <f t="shared" si="14"/>
        <v>43830</v>
      </c>
      <c r="V120" s="1">
        <v>43830</v>
      </c>
      <c r="W120">
        <v>3230.78</v>
      </c>
      <c r="Y120" s="1">
        <f t="shared" si="15"/>
        <v>44439</v>
      </c>
      <c r="Z120" s="1">
        <v>44439</v>
      </c>
      <c r="AA120">
        <v>83.24</v>
      </c>
      <c r="AC120" s="1">
        <f t="shared" si="16"/>
        <v>43830</v>
      </c>
      <c r="AD120" s="1">
        <v>43830</v>
      </c>
      <c r="AE120">
        <v>236.7</v>
      </c>
      <c r="AG120" s="1">
        <f t="shared" si="17"/>
        <v>44196</v>
      </c>
      <c r="AH120" s="1">
        <v>44196</v>
      </c>
      <c r="AI120">
        <v>60.2</v>
      </c>
    </row>
    <row r="121" spans="1:35" x14ac:dyDescent="0.25">
      <c r="A121" s="1">
        <f t="shared" si="9"/>
        <v>43861</v>
      </c>
      <c r="B121" s="1">
        <v>43861</v>
      </c>
      <c r="C121">
        <v>84.640299999999996</v>
      </c>
      <c r="E121" s="1">
        <f t="shared" si="10"/>
        <v>44500</v>
      </c>
      <c r="F121" s="1">
        <v>44500</v>
      </c>
      <c r="G121">
        <v>110.28</v>
      </c>
      <c r="I121" s="1">
        <f t="shared" si="11"/>
        <v>43861</v>
      </c>
      <c r="J121" s="1">
        <v>43861</v>
      </c>
      <c r="K121">
        <v>251.7</v>
      </c>
      <c r="M121" s="1">
        <f t="shared" si="12"/>
        <v>43861</v>
      </c>
      <c r="N121" s="1">
        <v>43861</v>
      </c>
      <c r="O121">
        <v>1722</v>
      </c>
      <c r="Q121" s="1">
        <f t="shared" si="13"/>
        <v>43861</v>
      </c>
      <c r="R121" s="1">
        <v>43861</v>
      </c>
      <c r="S121">
        <v>0.66920000000000002</v>
      </c>
      <c r="U121" s="1">
        <f t="shared" si="14"/>
        <v>43861</v>
      </c>
      <c r="V121" s="1">
        <v>43861</v>
      </c>
      <c r="W121">
        <v>3225.52</v>
      </c>
      <c r="Y121" s="1">
        <f t="shared" si="15"/>
        <v>44469</v>
      </c>
      <c r="Z121" s="1">
        <v>44469</v>
      </c>
      <c r="AA121">
        <v>73.75</v>
      </c>
      <c r="AC121" s="1">
        <f t="shared" si="16"/>
        <v>43861</v>
      </c>
      <c r="AD121" s="1">
        <v>43861</v>
      </c>
      <c r="AE121">
        <v>182.9</v>
      </c>
      <c r="AG121" s="1">
        <f t="shared" si="17"/>
        <v>44227</v>
      </c>
      <c r="AH121" s="1">
        <v>44227</v>
      </c>
      <c r="AI121">
        <v>59.2</v>
      </c>
    </row>
    <row r="122" spans="1:35" x14ac:dyDescent="0.25">
      <c r="A122" s="1">
        <f t="shared" si="9"/>
        <v>43890</v>
      </c>
      <c r="B122" s="1">
        <v>43889</v>
      </c>
      <c r="C122">
        <v>74.343400000000003</v>
      </c>
      <c r="E122" s="1">
        <f t="shared" si="10"/>
        <v>44530</v>
      </c>
      <c r="F122" s="1">
        <v>44530</v>
      </c>
      <c r="G122">
        <v>94.39</v>
      </c>
      <c r="I122" s="1">
        <f t="shared" si="11"/>
        <v>43890</v>
      </c>
      <c r="J122" s="1">
        <v>43889</v>
      </c>
      <c r="K122">
        <v>254.6</v>
      </c>
      <c r="M122" s="1">
        <f t="shared" si="12"/>
        <v>43890</v>
      </c>
      <c r="N122" s="1">
        <v>43889</v>
      </c>
      <c r="O122">
        <v>1694.5</v>
      </c>
      <c r="Q122" s="1">
        <f t="shared" si="13"/>
        <v>43890</v>
      </c>
      <c r="R122" s="1">
        <v>43889</v>
      </c>
      <c r="S122">
        <v>0.65149999999999997</v>
      </c>
      <c r="U122" s="1">
        <f t="shared" si="14"/>
        <v>43890</v>
      </c>
      <c r="V122" s="1">
        <v>43889</v>
      </c>
      <c r="W122">
        <v>2954.22</v>
      </c>
      <c r="Y122" s="1">
        <f t="shared" si="15"/>
        <v>44500</v>
      </c>
      <c r="Z122" s="1">
        <v>44500</v>
      </c>
      <c r="AA122">
        <v>71.58</v>
      </c>
      <c r="AC122" s="1">
        <f t="shared" si="16"/>
        <v>43890</v>
      </c>
      <c r="AD122" s="1">
        <v>43890</v>
      </c>
      <c r="AE122">
        <v>103.2</v>
      </c>
      <c r="AG122" s="1">
        <f t="shared" si="17"/>
        <v>44255</v>
      </c>
      <c r="AH122" s="1">
        <v>44255</v>
      </c>
      <c r="AI122">
        <v>60.4</v>
      </c>
    </row>
    <row r="123" spans="1:35" x14ac:dyDescent="0.25">
      <c r="A123" s="1">
        <f t="shared" si="9"/>
        <v>43921</v>
      </c>
      <c r="B123" s="1">
        <v>43921</v>
      </c>
      <c r="C123">
        <v>75.784999999999997</v>
      </c>
      <c r="E123" s="1">
        <f t="shared" si="10"/>
        <v>44561</v>
      </c>
      <c r="F123" s="1">
        <v>44561</v>
      </c>
      <c r="G123">
        <v>114.09</v>
      </c>
      <c r="I123" s="1">
        <f t="shared" si="11"/>
        <v>43921</v>
      </c>
      <c r="J123" s="1">
        <v>43921</v>
      </c>
      <c r="K123">
        <v>222.8</v>
      </c>
      <c r="M123" s="1">
        <f t="shared" si="12"/>
        <v>43921</v>
      </c>
      <c r="N123" s="1">
        <v>43921</v>
      </c>
      <c r="O123">
        <v>1526</v>
      </c>
      <c r="Q123" s="1">
        <f t="shared" si="13"/>
        <v>43921</v>
      </c>
      <c r="R123" s="1">
        <v>43921</v>
      </c>
      <c r="S123">
        <v>0.61309999999999998</v>
      </c>
      <c r="U123" s="1">
        <f t="shared" si="14"/>
        <v>43921</v>
      </c>
      <c r="V123" s="1">
        <v>43921</v>
      </c>
      <c r="W123">
        <v>2584.59</v>
      </c>
      <c r="Y123" s="1">
        <f t="shared" si="15"/>
        <v>44530</v>
      </c>
      <c r="Z123" s="1">
        <v>44530</v>
      </c>
      <c r="AA123">
        <v>69.31</v>
      </c>
      <c r="AC123" s="1">
        <f t="shared" si="16"/>
        <v>43921</v>
      </c>
      <c r="AD123" s="1">
        <v>43921</v>
      </c>
      <c r="AE123">
        <v>207.1</v>
      </c>
      <c r="AG123" s="1">
        <f t="shared" si="17"/>
        <v>44286</v>
      </c>
      <c r="AH123" s="1">
        <v>44286</v>
      </c>
      <c r="AI123">
        <v>63.8</v>
      </c>
    </row>
    <row r="124" spans="1:35" x14ac:dyDescent="0.25">
      <c r="A124" s="1">
        <f t="shared" si="9"/>
        <v>43951</v>
      </c>
      <c r="B124" s="1">
        <v>43951</v>
      </c>
      <c r="C124">
        <v>76.832899999999995</v>
      </c>
      <c r="E124" s="1">
        <f t="shared" si="10"/>
        <v>44592</v>
      </c>
      <c r="F124" s="1">
        <v>44592</v>
      </c>
      <c r="G124">
        <v>132.5</v>
      </c>
      <c r="I124" s="1">
        <f t="shared" si="11"/>
        <v>43951</v>
      </c>
      <c r="J124" s="1">
        <v>43951</v>
      </c>
      <c r="K124">
        <v>235.4</v>
      </c>
      <c r="M124" s="1">
        <f t="shared" si="12"/>
        <v>43951</v>
      </c>
      <c r="N124" s="1">
        <v>43951</v>
      </c>
      <c r="O124">
        <v>1494.5</v>
      </c>
      <c r="Q124" s="1">
        <f t="shared" si="13"/>
        <v>43951</v>
      </c>
      <c r="R124" s="1">
        <v>43951</v>
      </c>
      <c r="S124">
        <v>0.6512</v>
      </c>
      <c r="U124" s="1">
        <f t="shared" si="14"/>
        <v>43951</v>
      </c>
      <c r="V124" s="1">
        <v>43951</v>
      </c>
      <c r="W124">
        <v>2912.43</v>
      </c>
      <c r="Y124" s="1">
        <f t="shared" si="15"/>
        <v>44561</v>
      </c>
      <c r="Z124" s="1">
        <v>44561</v>
      </c>
      <c r="AA124">
        <v>86.19</v>
      </c>
      <c r="AC124" s="1">
        <f t="shared" si="16"/>
        <v>43951</v>
      </c>
      <c r="AD124" s="1">
        <v>43951</v>
      </c>
      <c r="AE124">
        <v>194.9</v>
      </c>
      <c r="AG124" s="1">
        <f t="shared" si="17"/>
        <v>44316</v>
      </c>
      <c r="AH124" s="1">
        <v>44316</v>
      </c>
      <c r="AI124">
        <v>60.8</v>
      </c>
    </row>
    <row r="125" spans="1:35" x14ac:dyDescent="0.25">
      <c r="A125" s="1">
        <f t="shared" si="9"/>
        <v>43982</v>
      </c>
      <c r="B125" s="1">
        <v>43980</v>
      </c>
      <c r="C125">
        <v>89.691100000000006</v>
      </c>
      <c r="E125" s="1">
        <f t="shared" si="10"/>
        <v>44620</v>
      </c>
      <c r="F125" s="1">
        <v>44620</v>
      </c>
      <c r="G125">
        <v>126.25</v>
      </c>
      <c r="I125" s="1">
        <f t="shared" si="11"/>
        <v>43982</v>
      </c>
      <c r="J125" s="1">
        <v>43980</v>
      </c>
      <c r="K125">
        <v>242.55</v>
      </c>
      <c r="M125" s="1">
        <f t="shared" si="12"/>
        <v>43982</v>
      </c>
      <c r="N125" s="1">
        <v>43980</v>
      </c>
      <c r="O125">
        <v>1548</v>
      </c>
      <c r="Q125" s="1">
        <f t="shared" si="13"/>
        <v>43982</v>
      </c>
      <c r="R125" s="1">
        <v>43980</v>
      </c>
      <c r="S125">
        <v>0.66669999999999996</v>
      </c>
      <c r="U125" s="1">
        <f t="shared" si="14"/>
        <v>43982</v>
      </c>
      <c r="V125" s="1">
        <v>43980</v>
      </c>
      <c r="W125">
        <v>3044.31</v>
      </c>
      <c r="Y125" s="1">
        <f t="shared" si="15"/>
        <v>44651</v>
      </c>
      <c r="Z125" s="1">
        <v>44651</v>
      </c>
      <c r="AA125">
        <v>88.3</v>
      </c>
      <c r="AC125" s="1">
        <f t="shared" si="16"/>
        <v>43982</v>
      </c>
      <c r="AD125" s="1">
        <v>43982</v>
      </c>
      <c r="AE125">
        <v>203.7</v>
      </c>
      <c r="AG125" s="1">
        <f t="shared" si="17"/>
        <v>44347</v>
      </c>
      <c r="AH125" s="1">
        <v>44347</v>
      </c>
      <c r="AI125">
        <v>61.6</v>
      </c>
    </row>
    <row r="126" spans="1:35" x14ac:dyDescent="0.25">
      <c r="A126" s="1">
        <f t="shared" si="9"/>
        <v>44012</v>
      </c>
      <c r="B126" s="1">
        <v>44012</v>
      </c>
      <c r="C126">
        <v>93.450400000000002</v>
      </c>
      <c r="E126" s="1">
        <f t="shared" si="10"/>
        <v>44651</v>
      </c>
      <c r="F126" s="1">
        <v>44651</v>
      </c>
      <c r="G126">
        <v>142.49</v>
      </c>
      <c r="I126" s="1">
        <f t="shared" si="11"/>
        <v>44012</v>
      </c>
      <c r="J126" s="1">
        <v>44012</v>
      </c>
      <c r="K126">
        <v>271.35000000000002</v>
      </c>
      <c r="M126" s="1">
        <f t="shared" si="12"/>
        <v>44012</v>
      </c>
      <c r="N126" s="1">
        <v>44012</v>
      </c>
      <c r="O126">
        <v>1619.5</v>
      </c>
      <c r="Q126" s="1">
        <f t="shared" si="13"/>
        <v>44012</v>
      </c>
      <c r="R126" s="1">
        <v>44012</v>
      </c>
      <c r="S126">
        <v>0.69030000000000002</v>
      </c>
      <c r="U126" s="1">
        <f t="shared" si="14"/>
        <v>44012</v>
      </c>
      <c r="V126" s="1">
        <v>44012</v>
      </c>
      <c r="W126">
        <v>3100.29</v>
      </c>
      <c r="Y126" s="1">
        <f t="shared" si="15"/>
        <v>44681</v>
      </c>
      <c r="Z126" s="1">
        <v>44681</v>
      </c>
      <c r="AA126">
        <v>92.78</v>
      </c>
      <c r="AC126" s="1">
        <f t="shared" si="16"/>
        <v>44012</v>
      </c>
      <c r="AD126" s="1">
        <v>44012</v>
      </c>
      <c r="AE126">
        <v>232.6</v>
      </c>
      <c r="AG126" s="1">
        <f t="shared" si="17"/>
        <v>44377</v>
      </c>
      <c r="AH126" s="1">
        <v>44377</v>
      </c>
      <c r="AI126">
        <v>61.3</v>
      </c>
    </row>
    <row r="127" spans="1:35" x14ac:dyDescent="0.25">
      <c r="A127" s="1">
        <f t="shared" si="9"/>
        <v>44043</v>
      </c>
      <c r="B127" s="1">
        <v>44043</v>
      </c>
      <c r="C127">
        <v>101.5346</v>
      </c>
      <c r="E127" s="1">
        <f t="shared" si="10"/>
        <v>44681</v>
      </c>
      <c r="F127" s="1">
        <v>44681</v>
      </c>
      <c r="G127">
        <v>133.59</v>
      </c>
      <c r="I127" s="1">
        <f t="shared" si="11"/>
        <v>44043</v>
      </c>
      <c r="J127" s="1">
        <v>44043</v>
      </c>
      <c r="K127">
        <v>286.8</v>
      </c>
      <c r="M127" s="1">
        <f t="shared" si="12"/>
        <v>44043</v>
      </c>
      <c r="N127" s="1">
        <v>44043</v>
      </c>
      <c r="O127">
        <v>1713.5</v>
      </c>
      <c r="Q127" s="1">
        <f t="shared" si="13"/>
        <v>44043</v>
      </c>
      <c r="R127" s="1">
        <v>44043</v>
      </c>
      <c r="S127">
        <v>0.71430000000000005</v>
      </c>
      <c r="U127" s="1">
        <f t="shared" si="14"/>
        <v>44043</v>
      </c>
      <c r="V127" s="1">
        <v>44043</v>
      </c>
      <c r="W127">
        <v>3271.12</v>
      </c>
      <c r="Y127" s="1">
        <f t="shared" si="15"/>
        <v>44712</v>
      </c>
      <c r="Z127" s="1">
        <v>44712</v>
      </c>
      <c r="AA127">
        <v>96.61</v>
      </c>
      <c r="AC127" s="1">
        <f t="shared" si="16"/>
        <v>44043</v>
      </c>
      <c r="AD127" s="1">
        <v>44043</v>
      </c>
      <c r="AE127">
        <v>206.1</v>
      </c>
      <c r="AG127" s="1">
        <f t="shared" si="17"/>
        <v>44408</v>
      </c>
      <c r="AH127" s="1">
        <v>44408</v>
      </c>
      <c r="AI127">
        <v>60.2</v>
      </c>
    </row>
    <row r="128" spans="1:35" x14ac:dyDescent="0.25">
      <c r="A128" s="1">
        <f t="shared" si="9"/>
        <v>44074</v>
      </c>
      <c r="B128" s="1">
        <v>44074</v>
      </c>
      <c r="C128">
        <v>104.3781</v>
      </c>
      <c r="E128" s="1">
        <f t="shared" si="10"/>
        <v>44712</v>
      </c>
      <c r="F128" s="1">
        <v>44712</v>
      </c>
      <c r="G128">
        <v>133.34</v>
      </c>
      <c r="I128" s="1">
        <f t="shared" si="11"/>
        <v>44074</v>
      </c>
      <c r="J128" s="1">
        <v>44074</v>
      </c>
      <c r="K128">
        <v>304.10000000000002</v>
      </c>
      <c r="M128" s="1">
        <f t="shared" si="12"/>
        <v>44074</v>
      </c>
      <c r="N128" s="1">
        <v>44074</v>
      </c>
      <c r="O128">
        <v>1800</v>
      </c>
      <c r="Q128" s="1">
        <f t="shared" si="13"/>
        <v>44074</v>
      </c>
      <c r="R128" s="1">
        <v>44074</v>
      </c>
      <c r="S128">
        <v>0.73760000000000003</v>
      </c>
      <c r="U128" s="1">
        <f t="shared" si="14"/>
        <v>44074</v>
      </c>
      <c r="V128" s="1">
        <v>44074</v>
      </c>
      <c r="W128">
        <v>3500.31</v>
      </c>
      <c r="Y128" s="1">
        <f t="shared" si="15"/>
        <v>44742</v>
      </c>
      <c r="Z128" s="1">
        <v>44742</v>
      </c>
      <c r="AA128">
        <v>90.73</v>
      </c>
      <c r="AC128" s="1">
        <f t="shared" si="16"/>
        <v>44074</v>
      </c>
      <c r="AD128" s="1">
        <v>44074</v>
      </c>
      <c r="AE128">
        <v>207.5</v>
      </c>
      <c r="AG128" s="1">
        <f t="shared" si="17"/>
        <v>44439</v>
      </c>
      <c r="AH128" s="1">
        <v>44439</v>
      </c>
      <c r="AI128">
        <v>59.8</v>
      </c>
    </row>
    <row r="129" spans="1:35" x14ac:dyDescent="0.25">
      <c r="A129" s="1">
        <f t="shared" si="9"/>
        <v>44104</v>
      </c>
      <c r="B129" s="1">
        <v>44104</v>
      </c>
      <c r="C129">
        <v>102.9462</v>
      </c>
      <c r="E129" s="1">
        <f t="shared" si="10"/>
        <v>44742</v>
      </c>
      <c r="F129" s="1">
        <v>44742</v>
      </c>
      <c r="G129">
        <v>115.53</v>
      </c>
      <c r="I129" s="1">
        <f t="shared" si="11"/>
        <v>44104</v>
      </c>
      <c r="J129" s="1">
        <v>44104</v>
      </c>
      <c r="K129">
        <v>303.25</v>
      </c>
      <c r="M129" s="1">
        <f t="shared" si="12"/>
        <v>44104</v>
      </c>
      <c r="N129" s="1">
        <v>44104</v>
      </c>
      <c r="O129">
        <v>1765</v>
      </c>
      <c r="Q129" s="1">
        <f t="shared" si="13"/>
        <v>44104</v>
      </c>
      <c r="R129" s="1">
        <v>44104</v>
      </c>
      <c r="S129">
        <v>0.71619999999999995</v>
      </c>
      <c r="U129" s="1">
        <f t="shared" si="14"/>
        <v>44104</v>
      </c>
      <c r="V129" s="1">
        <v>44104</v>
      </c>
      <c r="W129">
        <v>3363</v>
      </c>
      <c r="Y129" s="1">
        <f t="shared" si="15"/>
        <v>44773</v>
      </c>
      <c r="Z129" s="1">
        <v>44773</v>
      </c>
      <c r="AA129">
        <v>81.430000000000007</v>
      </c>
      <c r="AC129" s="1">
        <f t="shared" si="16"/>
        <v>44104</v>
      </c>
      <c r="AD129" s="1">
        <v>44104</v>
      </c>
      <c r="AE129">
        <v>229.5</v>
      </c>
      <c r="AG129" s="1">
        <f t="shared" si="17"/>
        <v>44469</v>
      </c>
      <c r="AH129" s="1">
        <v>44469</v>
      </c>
      <c r="AI129">
        <v>60.8</v>
      </c>
    </row>
    <row r="130" spans="1:35" x14ac:dyDescent="0.25">
      <c r="A130" s="1">
        <f t="shared" si="9"/>
        <v>44135</v>
      </c>
      <c r="B130" s="1">
        <v>44134</v>
      </c>
      <c r="C130">
        <v>96.775199999999998</v>
      </c>
      <c r="E130" s="1">
        <f t="shared" si="10"/>
        <v>44773</v>
      </c>
      <c r="F130" s="1">
        <v>44773</v>
      </c>
      <c r="G130">
        <v>104.32</v>
      </c>
      <c r="I130" s="1">
        <f t="shared" si="11"/>
        <v>44135</v>
      </c>
      <c r="J130" s="1">
        <v>44134</v>
      </c>
      <c r="K130">
        <v>304.75</v>
      </c>
      <c r="M130" s="1">
        <f t="shared" si="12"/>
        <v>44135</v>
      </c>
      <c r="N130" s="1">
        <v>44134</v>
      </c>
      <c r="O130">
        <v>1848.5</v>
      </c>
      <c r="Q130" s="1">
        <f t="shared" si="13"/>
        <v>44135</v>
      </c>
      <c r="R130" s="1">
        <v>44134</v>
      </c>
      <c r="S130">
        <v>0.70279999999999998</v>
      </c>
      <c r="U130" s="1">
        <f t="shared" si="14"/>
        <v>44135</v>
      </c>
      <c r="V130" s="1">
        <v>44134</v>
      </c>
      <c r="W130">
        <v>3269.96</v>
      </c>
      <c r="Y130" s="1">
        <f t="shared" si="15"/>
        <v>44804</v>
      </c>
      <c r="Z130" s="1">
        <v>44804</v>
      </c>
      <c r="AA130">
        <v>83.87</v>
      </c>
      <c r="AC130" s="1">
        <f t="shared" si="16"/>
        <v>44135</v>
      </c>
      <c r="AD130" s="1">
        <v>44135</v>
      </c>
      <c r="AE130">
        <v>220.1</v>
      </c>
      <c r="AG130" s="1">
        <f t="shared" si="17"/>
        <v>44500</v>
      </c>
      <c r="AH130" s="1">
        <v>44500</v>
      </c>
      <c r="AI130">
        <v>60.7</v>
      </c>
    </row>
    <row r="131" spans="1:35" x14ac:dyDescent="0.25">
      <c r="A131" s="1">
        <f t="shared" si="9"/>
        <v>44165</v>
      </c>
      <c r="B131" s="1">
        <v>44165</v>
      </c>
      <c r="C131">
        <v>110.75369999999999</v>
      </c>
      <c r="E131" s="1">
        <f t="shared" si="10"/>
        <v>44804</v>
      </c>
      <c r="F131" s="1">
        <v>44804</v>
      </c>
      <c r="G131">
        <v>95.25</v>
      </c>
      <c r="I131" s="1">
        <f t="shared" si="11"/>
        <v>44165</v>
      </c>
      <c r="J131" s="1">
        <v>44165</v>
      </c>
      <c r="K131">
        <v>342.05</v>
      </c>
      <c r="M131" s="1">
        <f t="shared" si="12"/>
        <v>44165</v>
      </c>
      <c r="N131" s="1">
        <v>44165</v>
      </c>
      <c r="O131">
        <v>2045</v>
      </c>
      <c r="Q131" s="1">
        <f t="shared" si="13"/>
        <v>44165</v>
      </c>
      <c r="R131" s="1">
        <v>44165</v>
      </c>
      <c r="S131">
        <v>0.73440000000000005</v>
      </c>
      <c r="U131" s="1">
        <f t="shared" si="14"/>
        <v>44165</v>
      </c>
      <c r="V131" s="1">
        <v>44165</v>
      </c>
      <c r="W131">
        <v>3621.63</v>
      </c>
      <c r="Y131" s="1">
        <f t="shared" si="15"/>
        <v>44834</v>
      </c>
      <c r="Z131" s="1">
        <v>44834</v>
      </c>
      <c r="AA131">
        <v>86.95</v>
      </c>
      <c r="AC131" s="1">
        <f t="shared" si="16"/>
        <v>44165</v>
      </c>
      <c r="AD131" s="1">
        <v>44165</v>
      </c>
      <c r="AE131">
        <v>233.5</v>
      </c>
      <c r="AG131" s="1">
        <f t="shared" si="17"/>
        <v>44530</v>
      </c>
      <c r="AH131" s="1">
        <v>44530</v>
      </c>
      <c r="AI131">
        <v>60.8</v>
      </c>
    </row>
    <row r="132" spans="1:35" x14ac:dyDescent="0.25">
      <c r="A132" s="1">
        <f t="shared" ref="A132:A194" si="18">EOMONTH(B132,0)</f>
        <v>44196</v>
      </c>
      <c r="B132" s="1">
        <v>44196</v>
      </c>
      <c r="C132">
        <v>128.22669999999999</v>
      </c>
      <c r="E132" s="1">
        <f t="shared" ref="E132:E173" si="19">EOMONTH(F132,0)</f>
        <v>44834</v>
      </c>
      <c r="F132" s="1">
        <v>44834</v>
      </c>
      <c r="G132">
        <v>95.6</v>
      </c>
      <c r="I132" s="1">
        <f t="shared" ref="I132:I194" si="20">EOMONTH(J132,0)</f>
        <v>44196</v>
      </c>
      <c r="J132" s="1">
        <v>44196</v>
      </c>
      <c r="K132">
        <v>351.9</v>
      </c>
      <c r="M132" s="1">
        <f t="shared" ref="M132:M194" si="21">EOMONTH(N132,0)</f>
        <v>44196</v>
      </c>
      <c r="N132" s="1">
        <v>44196</v>
      </c>
      <c r="O132">
        <v>1979.5</v>
      </c>
      <c r="Q132" s="1">
        <f t="shared" ref="Q132:Q194" si="22">EOMONTH(R132,0)</f>
        <v>44196</v>
      </c>
      <c r="R132" s="1">
        <v>44196</v>
      </c>
      <c r="S132">
        <v>0.76939999999999997</v>
      </c>
      <c r="U132" s="1">
        <f t="shared" ref="U132:U194" si="23">EOMONTH(V132,0)</f>
        <v>44196</v>
      </c>
      <c r="V132" s="1">
        <v>44196</v>
      </c>
      <c r="W132">
        <v>3756.07</v>
      </c>
      <c r="Y132" s="1">
        <f t="shared" ref="Y132:Y164" si="24">EOMONTH(Z132,0)</f>
        <v>44865</v>
      </c>
      <c r="Z132" s="1">
        <v>44865</v>
      </c>
      <c r="AA132">
        <v>79.760000000000005</v>
      </c>
      <c r="AC132" s="1">
        <f t="shared" ref="AC132:AC155" si="25">EOMONTH(AD132,0)</f>
        <v>44196</v>
      </c>
      <c r="AD132" s="1">
        <v>44196</v>
      </c>
      <c r="AE132">
        <v>254</v>
      </c>
      <c r="AG132" s="1">
        <f t="shared" ref="AG132:AG182" si="26">EOMONTH(AH132,0)</f>
        <v>44561</v>
      </c>
      <c r="AH132" s="1">
        <v>44561</v>
      </c>
      <c r="AI132">
        <v>58.3</v>
      </c>
    </row>
    <row r="133" spans="1:35" x14ac:dyDescent="0.25">
      <c r="A133" s="1">
        <f t="shared" si="18"/>
        <v>44227</v>
      </c>
      <c r="B133" s="1">
        <v>44225</v>
      </c>
      <c r="C133">
        <v>130.2724</v>
      </c>
      <c r="E133" s="1">
        <f t="shared" si="19"/>
        <v>44865</v>
      </c>
      <c r="F133" s="1">
        <v>44865</v>
      </c>
      <c r="G133">
        <v>78.91</v>
      </c>
      <c r="I133" s="1">
        <f t="shared" si="20"/>
        <v>44227</v>
      </c>
      <c r="J133" s="1">
        <v>44225</v>
      </c>
      <c r="K133">
        <v>355.6</v>
      </c>
      <c r="M133" s="1">
        <f t="shared" si="21"/>
        <v>44227</v>
      </c>
      <c r="N133" s="1">
        <v>44225</v>
      </c>
      <c r="O133">
        <v>1977.5</v>
      </c>
      <c r="Q133" s="1">
        <f t="shared" si="22"/>
        <v>44227</v>
      </c>
      <c r="R133" s="1">
        <v>44225</v>
      </c>
      <c r="S133">
        <v>0.76439999999999997</v>
      </c>
      <c r="U133" s="1">
        <f t="shared" si="23"/>
        <v>44227</v>
      </c>
      <c r="V133" s="1">
        <v>44225</v>
      </c>
      <c r="W133">
        <v>3714.24</v>
      </c>
      <c r="Y133" s="1">
        <f t="shared" si="24"/>
        <v>44895</v>
      </c>
      <c r="Z133" s="1">
        <v>44895</v>
      </c>
      <c r="AA133">
        <v>74.540000000000006</v>
      </c>
      <c r="AC133" s="1">
        <f t="shared" si="25"/>
        <v>44227</v>
      </c>
      <c r="AD133" s="1">
        <v>44227</v>
      </c>
      <c r="AE133">
        <v>229.4</v>
      </c>
      <c r="AG133" s="1">
        <f t="shared" si="26"/>
        <v>44592</v>
      </c>
      <c r="AH133" s="1">
        <v>44592</v>
      </c>
      <c r="AI133">
        <v>57.4</v>
      </c>
    </row>
    <row r="134" spans="1:35" x14ac:dyDescent="0.25">
      <c r="A134" s="1">
        <f t="shared" si="18"/>
        <v>44255</v>
      </c>
      <c r="B134" s="1">
        <v>44253</v>
      </c>
      <c r="C134">
        <v>148.9898</v>
      </c>
      <c r="E134" s="1">
        <f t="shared" si="19"/>
        <v>44895</v>
      </c>
      <c r="F134" s="1">
        <v>44895</v>
      </c>
      <c r="G134">
        <v>96.91</v>
      </c>
      <c r="I134" s="1">
        <f t="shared" si="20"/>
        <v>44255</v>
      </c>
      <c r="J134" s="1">
        <v>44253</v>
      </c>
      <c r="K134">
        <v>409.45</v>
      </c>
      <c r="M134" s="1">
        <f t="shared" si="21"/>
        <v>44255</v>
      </c>
      <c r="N134" s="1">
        <v>44253</v>
      </c>
      <c r="O134">
        <v>2154.5</v>
      </c>
      <c r="Q134" s="1">
        <f t="shared" si="22"/>
        <v>44255</v>
      </c>
      <c r="R134" s="1">
        <v>44253</v>
      </c>
      <c r="S134">
        <v>0.77059999999999995</v>
      </c>
      <c r="U134" s="1">
        <f t="shared" si="23"/>
        <v>44255</v>
      </c>
      <c r="V134" s="1">
        <v>44253</v>
      </c>
      <c r="W134">
        <v>3811.15</v>
      </c>
      <c r="Y134" s="1">
        <f t="shared" si="24"/>
        <v>44926</v>
      </c>
      <c r="Z134" s="1">
        <v>44926</v>
      </c>
      <c r="AA134">
        <v>77.89</v>
      </c>
      <c r="AC134" s="1">
        <f t="shared" si="25"/>
        <v>44255</v>
      </c>
      <c r="AD134" s="1">
        <v>44255</v>
      </c>
      <c r="AE134">
        <v>157.19999999999999</v>
      </c>
      <c r="AG134" s="1">
        <f t="shared" si="26"/>
        <v>44620</v>
      </c>
      <c r="AH134" s="1">
        <v>44620</v>
      </c>
      <c r="AI134">
        <v>58.1</v>
      </c>
    </row>
    <row r="135" spans="1:35" x14ac:dyDescent="0.25">
      <c r="A135" s="1">
        <f t="shared" si="18"/>
        <v>44286</v>
      </c>
      <c r="B135" s="1">
        <v>44286</v>
      </c>
      <c r="C135">
        <v>138.8664</v>
      </c>
      <c r="E135" s="1">
        <f t="shared" si="19"/>
        <v>44926</v>
      </c>
      <c r="F135" s="1">
        <v>44926</v>
      </c>
      <c r="G135">
        <v>111.68</v>
      </c>
      <c r="I135" s="1">
        <f t="shared" si="20"/>
        <v>44286</v>
      </c>
      <c r="J135" s="1">
        <v>44286</v>
      </c>
      <c r="K135">
        <v>399.55</v>
      </c>
      <c r="M135" s="1">
        <f t="shared" si="21"/>
        <v>44286</v>
      </c>
      <c r="N135" s="1">
        <v>44286</v>
      </c>
      <c r="O135">
        <v>2212</v>
      </c>
      <c r="Q135" s="1">
        <f t="shared" si="22"/>
        <v>44286</v>
      </c>
      <c r="R135" s="1">
        <v>44286</v>
      </c>
      <c r="S135">
        <v>0.75980000000000003</v>
      </c>
      <c r="U135" s="1">
        <f t="shared" si="23"/>
        <v>44286</v>
      </c>
      <c r="V135" s="1">
        <v>44286</v>
      </c>
      <c r="W135">
        <v>3972.89</v>
      </c>
      <c r="Y135" s="1">
        <f t="shared" si="24"/>
        <v>45016</v>
      </c>
      <c r="Z135" s="1">
        <v>45016</v>
      </c>
      <c r="AA135">
        <v>95.73</v>
      </c>
      <c r="AC135" s="1">
        <f t="shared" si="25"/>
        <v>44286</v>
      </c>
      <c r="AD135" s="1">
        <v>44286</v>
      </c>
      <c r="AE135">
        <v>236.3</v>
      </c>
      <c r="AG135" s="1">
        <f t="shared" si="26"/>
        <v>44651</v>
      </c>
      <c r="AH135" s="1">
        <v>44651</v>
      </c>
      <c r="AI135">
        <v>57.2</v>
      </c>
    </row>
    <row r="136" spans="1:35" x14ac:dyDescent="0.25">
      <c r="A136" s="1">
        <f t="shared" si="18"/>
        <v>44316</v>
      </c>
      <c r="B136" s="1">
        <v>44316</v>
      </c>
      <c r="C136">
        <v>152.1181</v>
      </c>
      <c r="E136" s="1">
        <f t="shared" si="19"/>
        <v>44957</v>
      </c>
      <c r="F136" s="1">
        <v>44957</v>
      </c>
      <c r="G136">
        <v>117.87</v>
      </c>
      <c r="I136" s="1">
        <f t="shared" si="20"/>
        <v>44316</v>
      </c>
      <c r="J136" s="1">
        <v>44316</v>
      </c>
      <c r="K136">
        <v>447.9</v>
      </c>
      <c r="M136" s="1">
        <f t="shared" si="21"/>
        <v>44316</v>
      </c>
      <c r="N136" s="1">
        <v>44316</v>
      </c>
      <c r="O136">
        <v>2397</v>
      </c>
      <c r="Q136" s="1">
        <f t="shared" si="22"/>
        <v>44316</v>
      </c>
      <c r="R136" s="1">
        <v>44316</v>
      </c>
      <c r="S136">
        <v>0.77159999999999995</v>
      </c>
      <c r="U136" s="1">
        <f t="shared" si="23"/>
        <v>44316</v>
      </c>
      <c r="V136" s="1">
        <v>44316</v>
      </c>
      <c r="W136">
        <v>4181.17</v>
      </c>
      <c r="Y136" s="1">
        <f t="shared" si="24"/>
        <v>45046</v>
      </c>
      <c r="Z136" s="1">
        <v>45046</v>
      </c>
      <c r="AA136">
        <v>92.64</v>
      </c>
      <c r="AC136" s="1">
        <f t="shared" si="25"/>
        <v>44316</v>
      </c>
      <c r="AD136" s="1">
        <v>44316</v>
      </c>
      <c r="AE136">
        <v>214</v>
      </c>
      <c r="AG136" s="1">
        <f t="shared" si="26"/>
        <v>44681</v>
      </c>
      <c r="AH136" s="1">
        <v>44681</v>
      </c>
      <c r="AI136">
        <v>55.3</v>
      </c>
    </row>
    <row r="137" spans="1:35" x14ac:dyDescent="0.25">
      <c r="A137" s="1">
        <f t="shared" si="18"/>
        <v>44347</v>
      </c>
      <c r="B137" s="1">
        <v>44347</v>
      </c>
      <c r="C137">
        <v>156.35650000000001</v>
      </c>
      <c r="E137" s="1">
        <f t="shared" si="19"/>
        <v>44985</v>
      </c>
      <c r="F137" s="1">
        <v>44985</v>
      </c>
      <c r="G137">
        <v>116.87</v>
      </c>
      <c r="I137" s="1">
        <f t="shared" si="20"/>
        <v>44347</v>
      </c>
      <c r="J137" s="1">
        <v>44347</v>
      </c>
      <c r="K137">
        <v>467.75</v>
      </c>
      <c r="M137" s="1">
        <f t="shared" si="21"/>
        <v>44347</v>
      </c>
      <c r="N137" s="1">
        <v>44347</v>
      </c>
      <c r="O137">
        <v>2483</v>
      </c>
      <c r="Q137" s="1">
        <f t="shared" si="22"/>
        <v>44347</v>
      </c>
      <c r="R137" s="1">
        <v>44347</v>
      </c>
      <c r="S137">
        <v>0.77339999999999998</v>
      </c>
      <c r="U137" s="1">
        <f t="shared" si="23"/>
        <v>44347</v>
      </c>
      <c r="V137" s="1">
        <v>44347</v>
      </c>
      <c r="W137">
        <v>4204.1099999999997</v>
      </c>
      <c r="Y137" s="1">
        <f t="shared" si="24"/>
        <v>45077</v>
      </c>
      <c r="Z137" s="1">
        <v>45077</v>
      </c>
      <c r="AA137">
        <v>90.12</v>
      </c>
      <c r="AC137" s="1">
        <f t="shared" si="25"/>
        <v>44347</v>
      </c>
      <c r="AD137" s="1">
        <v>44347</v>
      </c>
      <c r="AE137">
        <v>221.6</v>
      </c>
      <c r="AG137" s="1">
        <f t="shared" si="26"/>
        <v>44712</v>
      </c>
      <c r="AH137" s="1">
        <v>44712</v>
      </c>
      <c r="AI137">
        <v>55.9</v>
      </c>
    </row>
    <row r="138" spans="1:35" x14ac:dyDescent="0.25">
      <c r="A138" s="1">
        <f t="shared" si="18"/>
        <v>44377</v>
      </c>
      <c r="B138" s="1">
        <v>44377</v>
      </c>
      <c r="C138">
        <v>150.0257</v>
      </c>
      <c r="E138" s="1">
        <f t="shared" si="19"/>
        <v>45016</v>
      </c>
      <c r="F138" s="1">
        <v>45016</v>
      </c>
      <c r="G138">
        <v>121.76</v>
      </c>
      <c r="I138" s="1">
        <f t="shared" si="20"/>
        <v>44377</v>
      </c>
      <c r="J138" s="1">
        <v>44377</v>
      </c>
      <c r="K138">
        <v>429.65</v>
      </c>
      <c r="M138" s="1">
        <f t="shared" si="21"/>
        <v>44377</v>
      </c>
      <c r="N138" s="1">
        <v>44377</v>
      </c>
      <c r="O138">
        <v>2523.5</v>
      </c>
      <c r="Q138" s="1">
        <f t="shared" si="22"/>
        <v>44377</v>
      </c>
      <c r="R138" s="1">
        <v>44377</v>
      </c>
      <c r="S138">
        <v>0.74980000000000002</v>
      </c>
      <c r="U138" s="1">
        <f t="shared" si="23"/>
        <v>44377</v>
      </c>
      <c r="V138" s="1">
        <v>44377</v>
      </c>
      <c r="W138">
        <v>4297.5</v>
      </c>
      <c r="Y138" s="1">
        <f t="shared" si="24"/>
        <v>45107</v>
      </c>
      <c r="Z138" s="1">
        <v>45107</v>
      </c>
      <c r="AA138">
        <v>91.11</v>
      </c>
      <c r="AC138" s="1">
        <f t="shared" si="25"/>
        <v>44377</v>
      </c>
      <c r="AD138" s="1">
        <v>44377</v>
      </c>
      <c r="AE138">
        <v>251.9</v>
      </c>
      <c r="AG138" s="1">
        <f t="shared" si="26"/>
        <v>44742</v>
      </c>
      <c r="AH138" s="1">
        <v>44742</v>
      </c>
      <c r="AI138">
        <v>53.5</v>
      </c>
    </row>
    <row r="139" spans="1:35" x14ac:dyDescent="0.25">
      <c r="A139" s="1">
        <f t="shared" si="18"/>
        <v>44408</v>
      </c>
      <c r="B139" s="1">
        <v>44407</v>
      </c>
      <c r="C139">
        <v>154.3536</v>
      </c>
      <c r="E139" s="1">
        <f t="shared" si="19"/>
        <v>45046</v>
      </c>
      <c r="F139" s="1">
        <v>45046</v>
      </c>
      <c r="G139">
        <v>106.49</v>
      </c>
      <c r="I139" s="1">
        <f t="shared" si="20"/>
        <v>44408</v>
      </c>
      <c r="J139" s="1">
        <v>44407</v>
      </c>
      <c r="K139">
        <v>448.25</v>
      </c>
      <c r="M139" s="1">
        <f t="shared" si="21"/>
        <v>44408</v>
      </c>
      <c r="N139" s="1">
        <v>44407</v>
      </c>
      <c r="O139">
        <v>2590</v>
      </c>
      <c r="Q139" s="1">
        <f t="shared" si="22"/>
        <v>44408</v>
      </c>
      <c r="R139" s="1">
        <v>44407</v>
      </c>
      <c r="S139">
        <v>0.73440000000000005</v>
      </c>
      <c r="U139" s="1">
        <f t="shared" si="23"/>
        <v>44408</v>
      </c>
      <c r="V139" s="1">
        <v>44407</v>
      </c>
      <c r="W139">
        <v>4395.26</v>
      </c>
      <c r="Y139" s="1">
        <f t="shared" si="24"/>
        <v>45138</v>
      </c>
      <c r="Z139" s="1">
        <v>45138</v>
      </c>
      <c r="AA139">
        <v>90.8</v>
      </c>
      <c r="AC139" s="1">
        <f t="shared" si="25"/>
        <v>44408</v>
      </c>
      <c r="AD139" s="1">
        <v>44408</v>
      </c>
      <c r="AE139">
        <v>219.3</v>
      </c>
      <c r="AG139" s="1">
        <f t="shared" si="26"/>
        <v>44773</v>
      </c>
      <c r="AH139" s="1">
        <v>44773</v>
      </c>
      <c r="AI139">
        <v>52.9</v>
      </c>
    </row>
    <row r="140" spans="1:35" x14ac:dyDescent="0.25">
      <c r="A140" s="1">
        <f t="shared" si="18"/>
        <v>44439</v>
      </c>
      <c r="B140" s="1">
        <v>44439</v>
      </c>
      <c r="C140">
        <v>143.76669999999999</v>
      </c>
      <c r="E140" s="1">
        <f t="shared" si="19"/>
        <v>45077</v>
      </c>
      <c r="F140" s="1">
        <v>45077</v>
      </c>
      <c r="G140">
        <v>98.44</v>
      </c>
      <c r="I140" s="1">
        <f t="shared" si="20"/>
        <v>44439</v>
      </c>
      <c r="J140" s="1">
        <v>44439</v>
      </c>
      <c r="K140">
        <v>436</v>
      </c>
      <c r="M140" s="1">
        <f t="shared" si="21"/>
        <v>44439</v>
      </c>
      <c r="N140" s="1">
        <v>44439</v>
      </c>
      <c r="O140">
        <v>2718</v>
      </c>
      <c r="Q140" s="1">
        <f t="shared" si="22"/>
        <v>44439</v>
      </c>
      <c r="R140" s="1">
        <v>44439</v>
      </c>
      <c r="S140">
        <v>0.73160000000000003</v>
      </c>
      <c r="U140" s="1">
        <f t="shared" si="23"/>
        <v>44439</v>
      </c>
      <c r="V140" s="1">
        <v>44439</v>
      </c>
      <c r="W140">
        <v>4522.68</v>
      </c>
      <c r="Y140" s="1">
        <f t="shared" si="24"/>
        <v>45169</v>
      </c>
      <c r="Z140" s="1">
        <v>45169</v>
      </c>
      <c r="AA140">
        <v>86.41</v>
      </c>
      <c r="AC140" s="1">
        <f t="shared" si="25"/>
        <v>44439</v>
      </c>
      <c r="AD140" s="1">
        <v>44439</v>
      </c>
      <c r="AE140">
        <v>218.5</v>
      </c>
      <c r="AG140" s="1">
        <f t="shared" si="26"/>
        <v>44804</v>
      </c>
      <c r="AH140" s="1">
        <v>44804</v>
      </c>
      <c r="AI140">
        <v>53</v>
      </c>
    </row>
    <row r="141" spans="1:35" x14ac:dyDescent="0.25">
      <c r="A141" s="1">
        <f t="shared" si="18"/>
        <v>44469</v>
      </c>
      <c r="B141" s="1">
        <v>44469</v>
      </c>
      <c r="C141">
        <v>127.9671</v>
      </c>
      <c r="E141" s="1">
        <f t="shared" si="19"/>
        <v>45107</v>
      </c>
      <c r="F141" s="1">
        <v>45107</v>
      </c>
      <c r="G141">
        <v>108.28</v>
      </c>
      <c r="I141" s="1">
        <f t="shared" si="20"/>
        <v>44469</v>
      </c>
      <c r="J141" s="1">
        <v>44469</v>
      </c>
      <c r="K141">
        <v>408.9</v>
      </c>
      <c r="M141" s="1">
        <f t="shared" si="21"/>
        <v>44469</v>
      </c>
      <c r="N141" s="1">
        <v>44469</v>
      </c>
      <c r="O141">
        <v>2858.5</v>
      </c>
      <c r="Q141" s="1">
        <f t="shared" si="22"/>
        <v>44469</v>
      </c>
      <c r="R141" s="1">
        <v>44469</v>
      </c>
      <c r="S141">
        <v>0.72270000000000001</v>
      </c>
      <c r="U141" s="1">
        <f t="shared" si="23"/>
        <v>44469</v>
      </c>
      <c r="V141" s="1">
        <v>44469</v>
      </c>
      <c r="W141">
        <v>4307.54</v>
      </c>
      <c r="Y141" s="1">
        <f t="shared" si="24"/>
        <v>45199</v>
      </c>
      <c r="Z141" s="1">
        <v>45199</v>
      </c>
      <c r="AA141">
        <v>82.11</v>
      </c>
      <c r="AC141" s="1">
        <f t="shared" si="25"/>
        <v>44469</v>
      </c>
      <c r="AD141" s="1">
        <v>44469</v>
      </c>
      <c r="AE141">
        <v>236.6</v>
      </c>
      <c r="AG141" s="1">
        <f t="shared" si="26"/>
        <v>44834</v>
      </c>
      <c r="AH141" s="1">
        <v>44834</v>
      </c>
      <c r="AI141">
        <v>51.1</v>
      </c>
    </row>
    <row r="142" spans="1:35" x14ac:dyDescent="0.25">
      <c r="A142" s="1">
        <f t="shared" si="18"/>
        <v>44500</v>
      </c>
      <c r="B142" s="1">
        <v>44498</v>
      </c>
      <c r="C142">
        <v>121.16849999999999</v>
      </c>
      <c r="E142" s="1">
        <f t="shared" si="19"/>
        <v>45138</v>
      </c>
      <c r="F142" s="1">
        <v>45138</v>
      </c>
      <c r="G142">
        <v>111.11</v>
      </c>
      <c r="I142" s="1">
        <f t="shared" si="20"/>
        <v>44500</v>
      </c>
      <c r="J142" s="1">
        <v>44498</v>
      </c>
      <c r="K142">
        <v>436.8</v>
      </c>
      <c r="M142" s="1">
        <f t="shared" si="21"/>
        <v>44500</v>
      </c>
      <c r="N142" s="1">
        <v>44498</v>
      </c>
      <c r="O142">
        <v>2716.5</v>
      </c>
      <c r="Q142" s="1">
        <f t="shared" si="22"/>
        <v>44500</v>
      </c>
      <c r="R142" s="1">
        <v>44498</v>
      </c>
      <c r="S142">
        <v>0.75180000000000002</v>
      </c>
      <c r="U142" s="1">
        <f t="shared" si="23"/>
        <v>44500</v>
      </c>
      <c r="V142" s="1">
        <v>44498</v>
      </c>
      <c r="W142">
        <v>4605.38</v>
      </c>
      <c r="Y142" s="1">
        <f t="shared" si="24"/>
        <v>45230</v>
      </c>
      <c r="Z142" s="1">
        <v>45230</v>
      </c>
      <c r="AA142">
        <v>79.09</v>
      </c>
      <c r="AC142" s="1">
        <f t="shared" si="25"/>
        <v>44500</v>
      </c>
      <c r="AD142" s="1">
        <v>44500</v>
      </c>
      <c r="AE142">
        <v>227.8</v>
      </c>
      <c r="AG142" s="1">
        <f t="shared" si="26"/>
        <v>44865</v>
      </c>
      <c r="AH142" s="1">
        <v>44865</v>
      </c>
      <c r="AI142">
        <v>50.3</v>
      </c>
    </row>
    <row r="143" spans="1:35" x14ac:dyDescent="0.25">
      <c r="A143" s="1">
        <f t="shared" si="18"/>
        <v>44530</v>
      </c>
      <c r="B143" s="1">
        <v>44530</v>
      </c>
      <c r="C143">
        <v>120.0578</v>
      </c>
      <c r="E143" s="1">
        <f t="shared" si="19"/>
        <v>45169</v>
      </c>
      <c r="F143" s="1">
        <v>45169</v>
      </c>
      <c r="G143">
        <v>113.48</v>
      </c>
      <c r="I143" s="1">
        <f t="shared" si="20"/>
        <v>44530</v>
      </c>
      <c r="J143" s="1">
        <v>44530</v>
      </c>
      <c r="K143">
        <v>427.8</v>
      </c>
      <c r="M143" s="1">
        <f t="shared" si="21"/>
        <v>44530</v>
      </c>
      <c r="N143" s="1">
        <v>44530</v>
      </c>
      <c r="O143">
        <v>2625</v>
      </c>
      <c r="Q143" s="1">
        <f t="shared" si="22"/>
        <v>44530</v>
      </c>
      <c r="R143" s="1">
        <v>44530</v>
      </c>
      <c r="S143">
        <v>0.7127</v>
      </c>
      <c r="U143" s="1">
        <f t="shared" si="23"/>
        <v>44530</v>
      </c>
      <c r="V143" s="1">
        <v>44530</v>
      </c>
      <c r="W143">
        <v>4567</v>
      </c>
      <c r="Y143" s="1">
        <f t="shared" si="24"/>
        <v>45260</v>
      </c>
      <c r="Z143" s="1">
        <v>45260</v>
      </c>
      <c r="AA143">
        <v>76.099999999999994</v>
      </c>
      <c r="AC143" s="1">
        <f t="shared" si="25"/>
        <v>44530</v>
      </c>
      <c r="AD143" s="1">
        <v>44530</v>
      </c>
      <c r="AE143">
        <v>242.3</v>
      </c>
      <c r="AG143" s="1">
        <f t="shared" si="26"/>
        <v>44895</v>
      </c>
      <c r="AH143" s="1">
        <v>44895</v>
      </c>
      <c r="AI143">
        <v>49</v>
      </c>
    </row>
    <row r="144" spans="1:35" x14ac:dyDescent="0.25">
      <c r="A144" s="1">
        <f t="shared" si="18"/>
        <v>44561</v>
      </c>
      <c r="B144" s="1">
        <v>44561</v>
      </c>
      <c r="C144">
        <v>128.1969</v>
      </c>
      <c r="E144" s="1">
        <f t="shared" si="19"/>
        <v>45199</v>
      </c>
      <c r="F144" s="1">
        <v>45199</v>
      </c>
      <c r="G144">
        <v>116.84</v>
      </c>
      <c r="I144" s="1">
        <f t="shared" si="20"/>
        <v>44561</v>
      </c>
      <c r="J144" s="1">
        <v>44561</v>
      </c>
      <c r="K144">
        <v>446.35</v>
      </c>
      <c r="M144" s="1">
        <f t="shared" si="21"/>
        <v>44561</v>
      </c>
      <c r="N144" s="1">
        <v>44561</v>
      </c>
      <c r="O144">
        <v>2807.5</v>
      </c>
      <c r="Q144" s="1">
        <f t="shared" si="22"/>
        <v>44561</v>
      </c>
      <c r="R144" s="1">
        <v>44561</v>
      </c>
      <c r="S144">
        <v>0.72629999999999995</v>
      </c>
      <c r="U144" s="1">
        <f t="shared" si="23"/>
        <v>44561</v>
      </c>
      <c r="V144" s="1">
        <v>44561</v>
      </c>
      <c r="W144">
        <v>4766.18</v>
      </c>
      <c r="Y144" s="1">
        <f t="shared" si="24"/>
        <v>45291</v>
      </c>
      <c r="Z144" s="1">
        <v>45291</v>
      </c>
      <c r="AA144">
        <v>67.44</v>
      </c>
      <c r="AC144" s="1">
        <f t="shared" si="25"/>
        <v>44561</v>
      </c>
      <c r="AD144" s="1">
        <v>44561</v>
      </c>
      <c r="AE144">
        <v>266.8</v>
      </c>
      <c r="AG144" s="1">
        <f t="shared" si="26"/>
        <v>44926</v>
      </c>
      <c r="AH144" s="1">
        <v>44926</v>
      </c>
      <c r="AI144">
        <v>48</v>
      </c>
    </row>
    <row r="145" spans="1:35" x14ac:dyDescent="0.25">
      <c r="A145" s="1">
        <f t="shared" si="18"/>
        <v>44592</v>
      </c>
      <c r="B145" s="1">
        <v>44592</v>
      </c>
      <c r="C145">
        <v>136.73830000000001</v>
      </c>
      <c r="E145" s="1">
        <f t="shared" si="19"/>
        <v>45230</v>
      </c>
      <c r="F145" s="1">
        <v>45230</v>
      </c>
      <c r="G145">
        <v>118.75</v>
      </c>
      <c r="I145" s="1">
        <f t="shared" si="20"/>
        <v>44592</v>
      </c>
      <c r="J145" s="1">
        <v>44592</v>
      </c>
      <c r="K145">
        <v>432.45</v>
      </c>
      <c r="M145" s="1">
        <f t="shared" si="21"/>
        <v>44592</v>
      </c>
      <c r="N145" s="1">
        <v>44592</v>
      </c>
      <c r="O145">
        <v>3021</v>
      </c>
      <c r="Q145" s="1">
        <f t="shared" si="22"/>
        <v>44592</v>
      </c>
      <c r="R145" s="1">
        <v>44592</v>
      </c>
      <c r="S145">
        <v>0.70669999999999999</v>
      </c>
      <c r="U145" s="1">
        <f t="shared" si="23"/>
        <v>44592</v>
      </c>
      <c r="V145" s="1">
        <v>44592</v>
      </c>
      <c r="W145">
        <v>4515.55</v>
      </c>
      <c r="Y145" s="1">
        <f t="shared" si="24"/>
        <v>45382</v>
      </c>
      <c r="Z145" s="1">
        <v>45382</v>
      </c>
      <c r="AA145">
        <v>88.27</v>
      </c>
      <c r="AC145" s="1">
        <f t="shared" si="25"/>
        <v>44592</v>
      </c>
      <c r="AD145" s="1">
        <v>44592</v>
      </c>
      <c r="AE145">
        <v>238.2</v>
      </c>
      <c r="AG145" s="1">
        <f t="shared" si="26"/>
        <v>44957</v>
      </c>
      <c r="AH145" s="1">
        <v>44957</v>
      </c>
      <c r="AI145">
        <v>47.1</v>
      </c>
    </row>
    <row r="146" spans="1:35" x14ac:dyDescent="0.25">
      <c r="A146" s="1">
        <f t="shared" si="18"/>
        <v>44620</v>
      </c>
      <c r="B146" s="1">
        <v>44620</v>
      </c>
      <c r="C146">
        <v>150.48869999999999</v>
      </c>
      <c r="E146" s="1">
        <f t="shared" si="19"/>
        <v>45260</v>
      </c>
      <c r="F146" s="1">
        <v>45260</v>
      </c>
      <c r="G146">
        <v>125.33</v>
      </c>
      <c r="I146" s="1">
        <f t="shared" si="20"/>
        <v>44620</v>
      </c>
      <c r="J146" s="1">
        <v>44620</v>
      </c>
      <c r="K146">
        <v>444.45</v>
      </c>
      <c r="M146" s="1">
        <f t="shared" si="21"/>
        <v>44620</v>
      </c>
      <c r="N146" s="1">
        <v>44620</v>
      </c>
      <c r="O146">
        <v>3368.5</v>
      </c>
      <c r="Q146" s="1">
        <f t="shared" si="22"/>
        <v>44620</v>
      </c>
      <c r="R146" s="1">
        <v>44620</v>
      </c>
      <c r="S146">
        <v>0.72629999999999995</v>
      </c>
      <c r="U146" s="1">
        <f t="shared" si="23"/>
        <v>44620</v>
      </c>
      <c r="V146" s="1">
        <v>44620</v>
      </c>
      <c r="W146">
        <v>4373.9399999999996</v>
      </c>
      <c r="Y146" s="1">
        <f t="shared" si="24"/>
        <v>45412</v>
      </c>
      <c r="Z146" s="1">
        <v>45412</v>
      </c>
      <c r="AA146">
        <v>85.94</v>
      </c>
      <c r="AC146" s="1">
        <f t="shared" si="25"/>
        <v>44620</v>
      </c>
      <c r="AD146" s="1">
        <v>44620</v>
      </c>
      <c r="AE146">
        <v>177.3</v>
      </c>
      <c r="AG146" s="1">
        <f t="shared" si="26"/>
        <v>44985</v>
      </c>
      <c r="AH146" s="1">
        <v>44985</v>
      </c>
      <c r="AI146">
        <v>47.3</v>
      </c>
    </row>
    <row r="147" spans="1:35" x14ac:dyDescent="0.25">
      <c r="A147" s="1">
        <f t="shared" si="18"/>
        <v>44651</v>
      </c>
      <c r="B147" s="1">
        <v>44651</v>
      </c>
      <c r="C147">
        <v>163.8278</v>
      </c>
      <c r="E147" s="1">
        <f t="shared" si="19"/>
        <v>45291</v>
      </c>
      <c r="F147" s="1">
        <v>45291</v>
      </c>
      <c r="G147">
        <v>131.80000000000001</v>
      </c>
      <c r="I147" s="1">
        <f t="shared" si="20"/>
        <v>44651</v>
      </c>
      <c r="J147" s="1">
        <v>44651</v>
      </c>
      <c r="K147">
        <v>475.1</v>
      </c>
      <c r="M147" s="1">
        <f t="shared" si="21"/>
        <v>44651</v>
      </c>
      <c r="N147" s="1">
        <v>44651</v>
      </c>
      <c r="O147">
        <v>3491</v>
      </c>
      <c r="Q147" s="1">
        <f t="shared" si="22"/>
        <v>44651</v>
      </c>
      <c r="R147" s="1">
        <v>44651</v>
      </c>
      <c r="S147">
        <v>0.74819999999999998</v>
      </c>
      <c r="U147" s="1">
        <f t="shared" si="23"/>
        <v>44651</v>
      </c>
      <c r="V147" s="1">
        <v>44651</v>
      </c>
      <c r="W147">
        <v>4530.41</v>
      </c>
      <c r="Y147" s="1">
        <f t="shared" si="24"/>
        <v>45443</v>
      </c>
      <c r="Z147" s="1">
        <v>45443</v>
      </c>
      <c r="AA147">
        <v>92.86</v>
      </c>
      <c r="AC147" s="1">
        <f t="shared" si="25"/>
        <v>44651</v>
      </c>
      <c r="AD147" s="1">
        <v>44651</v>
      </c>
      <c r="AE147">
        <v>248.2</v>
      </c>
      <c r="AG147" s="1">
        <f t="shared" si="26"/>
        <v>45016</v>
      </c>
      <c r="AH147" s="1">
        <v>45016</v>
      </c>
      <c r="AI147">
        <v>46.3</v>
      </c>
    </row>
    <row r="148" spans="1:35" x14ac:dyDescent="0.25">
      <c r="A148" s="1">
        <f t="shared" si="18"/>
        <v>44681</v>
      </c>
      <c r="B148" s="1">
        <v>44680</v>
      </c>
      <c r="C148">
        <v>144.91829999999999</v>
      </c>
      <c r="E148" s="1">
        <f t="shared" si="19"/>
        <v>45322</v>
      </c>
      <c r="F148" s="1">
        <v>45322</v>
      </c>
      <c r="G148">
        <v>127.05</v>
      </c>
      <c r="I148" s="1">
        <f t="shared" si="20"/>
        <v>44681</v>
      </c>
      <c r="J148" s="1">
        <v>44680</v>
      </c>
      <c r="K148">
        <v>439.5</v>
      </c>
      <c r="M148" s="1">
        <f t="shared" si="21"/>
        <v>44681</v>
      </c>
      <c r="N148" s="1">
        <v>44680</v>
      </c>
      <c r="O148">
        <v>3052.5</v>
      </c>
      <c r="Q148" s="1">
        <f t="shared" si="22"/>
        <v>44681</v>
      </c>
      <c r="R148" s="1">
        <v>44680</v>
      </c>
      <c r="S148">
        <v>0.70609999999999995</v>
      </c>
      <c r="U148" s="1">
        <f t="shared" si="23"/>
        <v>44681</v>
      </c>
      <c r="V148" s="1">
        <v>44680</v>
      </c>
      <c r="W148">
        <v>4131.93</v>
      </c>
      <c r="Y148" s="1">
        <f t="shared" si="24"/>
        <v>45473</v>
      </c>
      <c r="Z148" s="1">
        <v>45473</v>
      </c>
      <c r="AA148">
        <v>91.61</v>
      </c>
      <c r="AC148" s="1">
        <f t="shared" si="25"/>
        <v>44681</v>
      </c>
      <c r="AD148" s="1">
        <v>44681</v>
      </c>
      <c r="AE148">
        <v>223.1</v>
      </c>
      <c r="AG148" s="1">
        <f t="shared" si="26"/>
        <v>45046</v>
      </c>
      <c r="AH148" s="1">
        <v>45046</v>
      </c>
      <c r="AI148">
        <v>46.7</v>
      </c>
    </row>
    <row r="149" spans="1:35" x14ac:dyDescent="0.25">
      <c r="A149" s="1">
        <f t="shared" si="18"/>
        <v>44712</v>
      </c>
      <c r="B149" s="1">
        <v>44712</v>
      </c>
      <c r="C149">
        <v>149.6456</v>
      </c>
      <c r="E149" s="1">
        <f t="shared" si="19"/>
        <v>45351</v>
      </c>
      <c r="F149" s="1">
        <v>45351</v>
      </c>
      <c r="G149">
        <v>115.16</v>
      </c>
      <c r="I149" s="1">
        <f t="shared" si="20"/>
        <v>44712</v>
      </c>
      <c r="J149" s="1">
        <v>44712</v>
      </c>
      <c r="K149">
        <v>429.6</v>
      </c>
      <c r="M149" s="1">
        <f t="shared" si="21"/>
        <v>44712</v>
      </c>
      <c r="N149" s="1">
        <v>44712</v>
      </c>
      <c r="O149">
        <v>2787</v>
      </c>
      <c r="Q149" s="1">
        <f t="shared" si="22"/>
        <v>44712</v>
      </c>
      <c r="R149" s="1">
        <v>44712</v>
      </c>
      <c r="S149">
        <v>0.7177</v>
      </c>
      <c r="U149" s="1">
        <f t="shared" si="23"/>
        <v>44712</v>
      </c>
      <c r="V149" s="1">
        <v>44712</v>
      </c>
      <c r="W149">
        <v>4132.1499999999996</v>
      </c>
      <c r="Y149" s="1">
        <f t="shared" si="24"/>
        <v>45504</v>
      </c>
      <c r="Z149" s="1">
        <v>45504</v>
      </c>
      <c r="AA149">
        <v>82.94</v>
      </c>
      <c r="AC149" s="1">
        <f t="shared" si="25"/>
        <v>44712</v>
      </c>
      <c r="AD149" s="1">
        <v>44712</v>
      </c>
      <c r="AE149">
        <v>261.7</v>
      </c>
      <c r="AG149" s="1">
        <f t="shared" si="26"/>
        <v>45077</v>
      </c>
      <c r="AH149" s="1">
        <v>45077</v>
      </c>
      <c r="AI149">
        <v>46.4</v>
      </c>
    </row>
    <row r="150" spans="1:35" x14ac:dyDescent="0.25">
      <c r="A150" s="1">
        <f t="shared" si="18"/>
        <v>44742</v>
      </c>
      <c r="B150" s="1">
        <v>44742</v>
      </c>
      <c r="C150">
        <v>124.2972</v>
      </c>
      <c r="E150" s="1">
        <f t="shared" si="19"/>
        <v>45382</v>
      </c>
      <c r="F150" s="1">
        <v>45382</v>
      </c>
      <c r="G150">
        <v>94.86</v>
      </c>
      <c r="I150" s="1">
        <f t="shared" si="20"/>
        <v>44742</v>
      </c>
      <c r="J150" s="1">
        <v>44742</v>
      </c>
      <c r="K150">
        <v>371.45</v>
      </c>
      <c r="M150" s="1">
        <f t="shared" si="21"/>
        <v>44742</v>
      </c>
      <c r="N150" s="1">
        <v>44742</v>
      </c>
      <c r="O150">
        <v>2445.5</v>
      </c>
      <c r="Q150" s="1">
        <f t="shared" si="22"/>
        <v>44742</v>
      </c>
      <c r="R150" s="1">
        <v>44742</v>
      </c>
      <c r="S150">
        <v>0.69030000000000002</v>
      </c>
      <c r="U150" s="1">
        <f t="shared" si="23"/>
        <v>44742</v>
      </c>
      <c r="V150" s="1">
        <v>44742</v>
      </c>
      <c r="W150">
        <v>3785.38</v>
      </c>
      <c r="Y150" s="1">
        <f t="shared" si="24"/>
        <v>45535</v>
      </c>
      <c r="Z150" s="1">
        <v>45535</v>
      </c>
      <c r="AA150">
        <v>77.92</v>
      </c>
      <c r="AC150" s="1">
        <f t="shared" si="25"/>
        <v>44742</v>
      </c>
      <c r="AD150" s="1">
        <v>44742</v>
      </c>
      <c r="AE150">
        <v>227.6</v>
      </c>
      <c r="AG150" s="1">
        <f t="shared" si="26"/>
        <v>45107</v>
      </c>
      <c r="AH150" s="1">
        <v>45107</v>
      </c>
      <c r="AI150">
        <v>46.3</v>
      </c>
    </row>
    <row r="151" spans="1:35" x14ac:dyDescent="0.25">
      <c r="A151" s="1">
        <f t="shared" si="18"/>
        <v>44773</v>
      </c>
      <c r="B151" s="1">
        <v>44771</v>
      </c>
      <c r="C151">
        <v>124.3583</v>
      </c>
      <c r="E151" s="1">
        <f t="shared" si="19"/>
        <v>45412</v>
      </c>
      <c r="F151" s="1">
        <v>45412</v>
      </c>
      <c r="G151">
        <v>108.71</v>
      </c>
      <c r="I151" s="1">
        <f t="shared" si="20"/>
        <v>44773</v>
      </c>
      <c r="J151" s="1">
        <v>44771</v>
      </c>
      <c r="K151">
        <v>357.35</v>
      </c>
      <c r="M151" s="1">
        <f t="shared" si="21"/>
        <v>44773</v>
      </c>
      <c r="N151" s="1">
        <v>44771</v>
      </c>
      <c r="O151">
        <v>2488.5</v>
      </c>
      <c r="Q151" s="1">
        <f t="shared" si="22"/>
        <v>44773</v>
      </c>
      <c r="R151" s="1">
        <v>44771</v>
      </c>
      <c r="S151">
        <v>0.69850000000000001</v>
      </c>
      <c r="U151" s="1">
        <f t="shared" si="23"/>
        <v>44773</v>
      </c>
      <c r="V151" s="1">
        <v>44771</v>
      </c>
      <c r="W151">
        <v>4130.29</v>
      </c>
      <c r="Y151" s="1">
        <f t="shared" si="24"/>
        <v>45565</v>
      </c>
      <c r="Z151" s="1">
        <v>45565</v>
      </c>
      <c r="AA151">
        <v>77.069999999999993</v>
      </c>
      <c r="AC151" s="1">
        <f t="shared" si="25"/>
        <v>44773</v>
      </c>
      <c r="AD151" s="1">
        <v>44773</v>
      </c>
      <c r="AE151">
        <v>227.6</v>
      </c>
      <c r="AG151" s="1">
        <f t="shared" si="26"/>
        <v>45138</v>
      </c>
      <c r="AH151" s="1">
        <v>45138</v>
      </c>
      <c r="AI151">
        <v>47</v>
      </c>
    </row>
    <row r="152" spans="1:35" x14ac:dyDescent="0.25">
      <c r="A152" s="1">
        <f t="shared" si="18"/>
        <v>44804</v>
      </c>
      <c r="B152" s="1">
        <v>44804</v>
      </c>
      <c r="C152">
        <v>119.8056</v>
      </c>
      <c r="E152" s="1">
        <f t="shared" si="19"/>
        <v>45443</v>
      </c>
      <c r="F152" s="1">
        <v>45443</v>
      </c>
      <c r="G152">
        <v>108.05</v>
      </c>
      <c r="I152" s="1">
        <f t="shared" si="20"/>
        <v>44804</v>
      </c>
      <c r="J152" s="1">
        <v>44804</v>
      </c>
      <c r="K152">
        <v>351.85</v>
      </c>
      <c r="M152" s="1">
        <f t="shared" si="21"/>
        <v>44804</v>
      </c>
      <c r="N152" s="1">
        <v>44804</v>
      </c>
      <c r="O152">
        <v>2359</v>
      </c>
      <c r="Q152" s="1">
        <f t="shared" si="22"/>
        <v>44804</v>
      </c>
      <c r="R152" s="1">
        <v>44804</v>
      </c>
      <c r="S152">
        <v>0.68420000000000003</v>
      </c>
      <c r="U152" s="1">
        <f t="shared" si="23"/>
        <v>44804</v>
      </c>
      <c r="V152" s="1">
        <v>44804</v>
      </c>
      <c r="W152">
        <v>3955</v>
      </c>
      <c r="Y152" s="1">
        <f t="shared" si="24"/>
        <v>45596</v>
      </c>
      <c r="Z152" s="1">
        <v>45596</v>
      </c>
      <c r="AA152">
        <v>81.88</v>
      </c>
      <c r="AC152" s="1">
        <f t="shared" si="25"/>
        <v>44804</v>
      </c>
      <c r="AD152" s="1">
        <v>44804</v>
      </c>
      <c r="AE152">
        <v>251.5</v>
      </c>
      <c r="AG152" s="1">
        <f t="shared" si="26"/>
        <v>45169</v>
      </c>
      <c r="AH152" s="1">
        <v>45169</v>
      </c>
      <c r="AI152">
        <v>48</v>
      </c>
    </row>
    <row r="153" spans="1:35" x14ac:dyDescent="0.25">
      <c r="A153" s="1">
        <f t="shared" si="18"/>
        <v>44834</v>
      </c>
      <c r="B153" s="1">
        <v>44834</v>
      </c>
      <c r="C153">
        <v>117.1878</v>
      </c>
      <c r="E153" s="1">
        <f t="shared" si="19"/>
        <v>45473</v>
      </c>
      <c r="F153" s="1">
        <v>45473</v>
      </c>
      <c r="G153">
        <v>101.92</v>
      </c>
      <c r="I153" s="1">
        <f t="shared" si="20"/>
        <v>44834</v>
      </c>
      <c r="J153" s="1">
        <v>44834</v>
      </c>
      <c r="K153">
        <v>341.25</v>
      </c>
      <c r="M153" s="1">
        <f t="shared" si="21"/>
        <v>44834</v>
      </c>
      <c r="N153" s="1">
        <v>44834</v>
      </c>
      <c r="O153">
        <v>2162</v>
      </c>
      <c r="Q153" s="1">
        <f t="shared" si="22"/>
        <v>44834</v>
      </c>
      <c r="R153" s="1">
        <v>44834</v>
      </c>
      <c r="S153">
        <v>0.64</v>
      </c>
      <c r="U153" s="1">
        <f t="shared" si="23"/>
        <v>44834</v>
      </c>
      <c r="V153" s="1">
        <v>44834</v>
      </c>
      <c r="W153">
        <v>3585.62</v>
      </c>
      <c r="Y153" s="1">
        <f t="shared" si="24"/>
        <v>45626</v>
      </c>
      <c r="Z153" s="1">
        <v>45626</v>
      </c>
      <c r="AA153">
        <v>78.400000000000006</v>
      </c>
      <c r="AC153" s="1">
        <f t="shared" si="25"/>
        <v>44834</v>
      </c>
      <c r="AD153" s="1">
        <v>44834</v>
      </c>
      <c r="AE153">
        <v>239.2</v>
      </c>
      <c r="AG153" s="1">
        <f t="shared" si="26"/>
        <v>45199</v>
      </c>
      <c r="AH153" s="1">
        <v>45199</v>
      </c>
      <c r="AI153">
        <v>48.7</v>
      </c>
    </row>
    <row r="154" spans="1:35" x14ac:dyDescent="0.25">
      <c r="A154" s="1">
        <f t="shared" si="18"/>
        <v>44865</v>
      </c>
      <c r="B154" s="1">
        <v>44865</v>
      </c>
      <c r="C154">
        <v>113.5483</v>
      </c>
      <c r="E154" s="1">
        <f t="shared" si="19"/>
        <v>45504</v>
      </c>
      <c r="F154" s="1">
        <v>45504</v>
      </c>
      <c r="G154">
        <v>95.44</v>
      </c>
      <c r="I154" s="1">
        <f t="shared" si="20"/>
        <v>44865</v>
      </c>
      <c r="J154" s="1">
        <v>44865</v>
      </c>
      <c r="K154">
        <v>337.5</v>
      </c>
      <c r="M154" s="1">
        <f t="shared" si="21"/>
        <v>44865</v>
      </c>
      <c r="N154" s="1">
        <v>44865</v>
      </c>
      <c r="O154">
        <v>2222</v>
      </c>
      <c r="Q154" s="1">
        <f t="shared" si="22"/>
        <v>44865</v>
      </c>
      <c r="R154" s="1">
        <v>44865</v>
      </c>
      <c r="S154">
        <v>0.63990000000000002</v>
      </c>
      <c r="U154" s="1">
        <f t="shared" si="23"/>
        <v>44865</v>
      </c>
      <c r="V154" s="1">
        <v>44865</v>
      </c>
      <c r="W154">
        <v>3871.98</v>
      </c>
      <c r="Y154" s="1">
        <f t="shared" si="24"/>
        <v>45657</v>
      </c>
      <c r="Z154" s="1">
        <v>45657</v>
      </c>
      <c r="AA154">
        <v>75.97</v>
      </c>
      <c r="AC154" s="1">
        <f t="shared" si="25"/>
        <v>44865</v>
      </c>
      <c r="AD154" s="1">
        <v>44865</v>
      </c>
      <c r="AE154">
        <v>247.7</v>
      </c>
      <c r="AG154" s="1">
        <f t="shared" si="26"/>
        <v>45230</v>
      </c>
      <c r="AH154" s="1">
        <v>45230</v>
      </c>
      <c r="AI154">
        <v>47.4</v>
      </c>
    </row>
    <row r="155" spans="1:35" x14ac:dyDescent="0.25">
      <c r="A155" s="1">
        <f t="shared" si="18"/>
        <v>44895</v>
      </c>
      <c r="B155" s="1">
        <v>44895</v>
      </c>
      <c r="C155">
        <v>146.09100000000001</v>
      </c>
      <c r="E155" s="1">
        <f t="shared" si="19"/>
        <v>45535</v>
      </c>
      <c r="F155" s="1">
        <v>45535</v>
      </c>
      <c r="G155">
        <v>94.89</v>
      </c>
      <c r="I155" s="1">
        <f t="shared" si="20"/>
        <v>44895</v>
      </c>
      <c r="J155" s="1">
        <v>44895</v>
      </c>
      <c r="K155">
        <v>372.95</v>
      </c>
      <c r="M155" s="1">
        <f t="shared" si="21"/>
        <v>44895</v>
      </c>
      <c r="N155" s="1">
        <v>44895</v>
      </c>
      <c r="O155">
        <v>2477.5</v>
      </c>
      <c r="Q155" s="1">
        <f t="shared" si="22"/>
        <v>44895</v>
      </c>
      <c r="R155" s="1">
        <v>44895</v>
      </c>
      <c r="S155">
        <v>0.67879999999999996</v>
      </c>
      <c r="U155" s="1">
        <f t="shared" si="23"/>
        <v>44895</v>
      </c>
      <c r="V155" s="1">
        <v>44895</v>
      </c>
      <c r="W155">
        <v>4080.11</v>
      </c>
      <c r="Y155" s="1">
        <f t="shared" si="24"/>
        <v>45747</v>
      </c>
      <c r="Z155" s="1">
        <v>45747</v>
      </c>
      <c r="AA155">
        <v>92.84</v>
      </c>
      <c r="AC155" s="1">
        <f t="shared" si="25"/>
        <v>44895</v>
      </c>
      <c r="AD155" s="1">
        <v>44895</v>
      </c>
      <c r="AE155">
        <v>268.39999999999998</v>
      </c>
      <c r="AG155" s="1">
        <f t="shared" si="26"/>
        <v>45260</v>
      </c>
      <c r="AH155" s="1">
        <v>45260</v>
      </c>
      <c r="AI155">
        <v>46.8</v>
      </c>
    </row>
    <row r="156" spans="1:35" x14ac:dyDescent="0.25">
      <c r="A156" s="1">
        <f t="shared" si="18"/>
        <v>44926</v>
      </c>
      <c r="B156" s="1">
        <v>44925</v>
      </c>
      <c r="C156">
        <v>151.53960000000001</v>
      </c>
      <c r="E156" s="1">
        <f t="shared" si="19"/>
        <v>45565</v>
      </c>
      <c r="F156" s="1">
        <v>45565</v>
      </c>
      <c r="G156">
        <v>103.02</v>
      </c>
      <c r="I156" s="1">
        <f t="shared" si="20"/>
        <v>44926</v>
      </c>
      <c r="J156" s="1">
        <v>44925</v>
      </c>
      <c r="K156">
        <v>381.05</v>
      </c>
      <c r="M156" s="1">
        <f t="shared" si="21"/>
        <v>44926</v>
      </c>
      <c r="N156" s="1">
        <v>44925</v>
      </c>
      <c r="O156">
        <v>2378</v>
      </c>
      <c r="Q156" s="1">
        <f t="shared" si="22"/>
        <v>44926</v>
      </c>
      <c r="R156" s="1">
        <v>44925</v>
      </c>
      <c r="S156">
        <v>0.68130000000000002</v>
      </c>
      <c r="U156" s="1">
        <f t="shared" si="23"/>
        <v>44926</v>
      </c>
      <c r="V156" s="1">
        <v>44925</v>
      </c>
      <c r="W156">
        <v>3839.5</v>
      </c>
      <c r="Y156" s="1">
        <f t="shared" si="24"/>
        <v>45777</v>
      </c>
      <c r="Z156" s="1">
        <v>45777</v>
      </c>
      <c r="AA156">
        <v>86.02</v>
      </c>
      <c r="AG156" s="1">
        <f t="shared" si="26"/>
        <v>45291</v>
      </c>
      <c r="AH156" s="1">
        <v>45291</v>
      </c>
      <c r="AI156">
        <v>46.9</v>
      </c>
    </row>
    <row r="157" spans="1:35" x14ac:dyDescent="0.25">
      <c r="A157" s="1">
        <f t="shared" si="18"/>
        <v>44957</v>
      </c>
      <c r="B157" s="1">
        <v>44957</v>
      </c>
      <c r="C157">
        <v>168.88570000000001</v>
      </c>
      <c r="E157" s="1">
        <f t="shared" si="19"/>
        <v>45596</v>
      </c>
      <c r="F157" s="1">
        <v>45596</v>
      </c>
      <c r="G157">
        <v>96.49</v>
      </c>
      <c r="I157" s="1">
        <f t="shared" si="20"/>
        <v>44957</v>
      </c>
      <c r="J157" s="1">
        <v>44957</v>
      </c>
      <c r="K157">
        <v>422.6</v>
      </c>
      <c r="M157" s="1">
        <f t="shared" si="21"/>
        <v>44957</v>
      </c>
      <c r="N157" s="1">
        <v>44957</v>
      </c>
      <c r="O157">
        <v>2644</v>
      </c>
      <c r="Q157" s="1">
        <f t="shared" si="22"/>
        <v>44957</v>
      </c>
      <c r="R157" s="1">
        <v>44957</v>
      </c>
      <c r="S157">
        <v>0.70550000000000002</v>
      </c>
      <c r="U157" s="1">
        <f t="shared" si="23"/>
        <v>44957</v>
      </c>
      <c r="V157" s="1">
        <v>44957</v>
      </c>
      <c r="W157">
        <v>4076.6</v>
      </c>
      <c r="Y157" s="1">
        <f t="shared" si="24"/>
        <v>45808</v>
      </c>
      <c r="Z157" s="1">
        <v>45808</v>
      </c>
      <c r="AA157">
        <v>86.55</v>
      </c>
      <c r="AG157" s="1">
        <f t="shared" si="26"/>
        <v>45322</v>
      </c>
      <c r="AH157" s="1">
        <v>45322</v>
      </c>
      <c r="AI157">
        <v>48.6</v>
      </c>
    </row>
    <row r="158" spans="1:35" x14ac:dyDescent="0.25">
      <c r="A158" s="1">
        <f t="shared" si="18"/>
        <v>44985</v>
      </c>
      <c r="B158" s="1">
        <v>44985</v>
      </c>
      <c r="C158">
        <v>148.4109</v>
      </c>
      <c r="E158" s="1">
        <f t="shared" si="19"/>
        <v>45626</v>
      </c>
      <c r="F158" s="1">
        <v>45626</v>
      </c>
      <c r="G158">
        <v>97.26</v>
      </c>
      <c r="I158" s="1">
        <f t="shared" si="20"/>
        <v>44985</v>
      </c>
      <c r="J158" s="1">
        <v>44985</v>
      </c>
      <c r="K158">
        <v>409.75</v>
      </c>
      <c r="M158" s="1">
        <f t="shared" si="21"/>
        <v>44985</v>
      </c>
      <c r="N158" s="1">
        <v>44985</v>
      </c>
      <c r="O158">
        <v>2373</v>
      </c>
      <c r="Q158" s="1">
        <f t="shared" si="22"/>
        <v>44985</v>
      </c>
      <c r="R158" s="1">
        <v>44985</v>
      </c>
      <c r="S158">
        <v>0.67290000000000005</v>
      </c>
      <c r="U158" s="1">
        <f t="shared" si="23"/>
        <v>44985</v>
      </c>
      <c r="V158" s="1">
        <v>44985</v>
      </c>
      <c r="W158">
        <v>3970.15</v>
      </c>
      <c r="Y158" s="1">
        <f t="shared" si="24"/>
        <v>45838</v>
      </c>
      <c r="Z158" s="1">
        <v>45838</v>
      </c>
      <c r="AA158">
        <v>83.18</v>
      </c>
      <c r="AG158" s="1">
        <f t="shared" si="26"/>
        <v>45351</v>
      </c>
      <c r="AH158" s="1">
        <v>45351</v>
      </c>
      <c r="AI158">
        <v>47.4</v>
      </c>
    </row>
    <row r="159" spans="1:35" x14ac:dyDescent="0.25">
      <c r="A159" s="1">
        <f t="shared" si="18"/>
        <v>45016</v>
      </c>
      <c r="B159" s="1">
        <v>45016</v>
      </c>
      <c r="C159">
        <v>150.82130000000001</v>
      </c>
      <c r="E159" s="1">
        <f t="shared" si="19"/>
        <v>45657</v>
      </c>
      <c r="F159" s="1">
        <v>45657</v>
      </c>
      <c r="G159">
        <v>95.35</v>
      </c>
      <c r="I159" s="1">
        <f t="shared" si="20"/>
        <v>45016</v>
      </c>
      <c r="J159" s="1">
        <v>45016</v>
      </c>
      <c r="K159">
        <v>409.45</v>
      </c>
      <c r="M159" s="1">
        <f t="shared" si="21"/>
        <v>45016</v>
      </c>
      <c r="N159" s="1">
        <v>45016</v>
      </c>
      <c r="O159">
        <v>2413</v>
      </c>
      <c r="Q159" s="1">
        <f t="shared" si="22"/>
        <v>45016</v>
      </c>
      <c r="R159" s="1">
        <v>45016</v>
      </c>
      <c r="S159">
        <v>0.66849999999999998</v>
      </c>
      <c r="U159" s="1">
        <f t="shared" si="23"/>
        <v>45016</v>
      </c>
      <c r="V159" s="1">
        <v>45016</v>
      </c>
      <c r="W159">
        <v>4109.3100000000004</v>
      </c>
      <c r="Y159" s="1">
        <f t="shared" si="24"/>
        <v>45869</v>
      </c>
      <c r="Z159" s="1">
        <v>45869</v>
      </c>
      <c r="AA159">
        <v>79.66</v>
      </c>
      <c r="AG159" s="1">
        <f t="shared" si="26"/>
        <v>45382</v>
      </c>
      <c r="AH159" s="1">
        <v>45382</v>
      </c>
      <c r="AI159">
        <v>49.8</v>
      </c>
    </row>
    <row r="160" spans="1:35" x14ac:dyDescent="0.25">
      <c r="A160" s="1">
        <f t="shared" si="18"/>
        <v>45046</v>
      </c>
      <c r="B160" s="1">
        <v>45044</v>
      </c>
      <c r="C160">
        <v>140.6859</v>
      </c>
      <c r="E160" s="1">
        <f t="shared" si="19"/>
        <v>45688</v>
      </c>
      <c r="F160" s="1">
        <v>45688</v>
      </c>
      <c r="G160">
        <v>99.97</v>
      </c>
      <c r="I160" s="1">
        <f t="shared" si="20"/>
        <v>45046</v>
      </c>
      <c r="J160" s="1">
        <v>45044</v>
      </c>
      <c r="K160">
        <v>387</v>
      </c>
      <c r="M160" s="1">
        <f t="shared" si="21"/>
        <v>45046</v>
      </c>
      <c r="N160" s="1">
        <v>45044</v>
      </c>
      <c r="O160">
        <v>2356</v>
      </c>
      <c r="Q160" s="1">
        <f t="shared" si="22"/>
        <v>45046</v>
      </c>
      <c r="R160" s="1">
        <v>45044</v>
      </c>
      <c r="S160">
        <v>0.66149999999999998</v>
      </c>
      <c r="U160" s="1">
        <f t="shared" si="23"/>
        <v>45046</v>
      </c>
      <c r="V160" s="1">
        <v>45044</v>
      </c>
      <c r="W160">
        <v>4169.4799999999996</v>
      </c>
      <c r="Y160" s="1">
        <f t="shared" si="24"/>
        <v>45900</v>
      </c>
      <c r="Z160" s="1">
        <v>45900</v>
      </c>
      <c r="AA160">
        <v>77.37</v>
      </c>
      <c r="AG160" s="1">
        <f t="shared" si="26"/>
        <v>45412</v>
      </c>
      <c r="AH160" s="1">
        <v>45412</v>
      </c>
      <c r="AI160">
        <v>48.9</v>
      </c>
    </row>
    <row r="161" spans="1:35" x14ac:dyDescent="0.25">
      <c r="A161" s="1">
        <f t="shared" si="18"/>
        <v>45077</v>
      </c>
      <c r="B161" s="1">
        <v>45077</v>
      </c>
      <c r="C161">
        <v>129.82499999999999</v>
      </c>
      <c r="E161" s="1">
        <f t="shared" si="19"/>
        <v>45716</v>
      </c>
      <c r="F161" s="1">
        <v>45716</v>
      </c>
      <c r="G161">
        <v>98.5</v>
      </c>
      <c r="I161" s="1">
        <f t="shared" si="20"/>
        <v>45077</v>
      </c>
      <c r="J161" s="1">
        <v>45077</v>
      </c>
      <c r="K161">
        <v>363.7</v>
      </c>
      <c r="M161" s="1">
        <f t="shared" si="21"/>
        <v>45077</v>
      </c>
      <c r="N161" s="1">
        <v>45077</v>
      </c>
      <c r="O161">
        <v>2246</v>
      </c>
      <c r="Q161" s="1">
        <f t="shared" si="22"/>
        <v>45077</v>
      </c>
      <c r="R161" s="1">
        <v>45077</v>
      </c>
      <c r="S161">
        <v>0.65029999999999999</v>
      </c>
      <c r="U161" s="1">
        <f t="shared" si="23"/>
        <v>45077</v>
      </c>
      <c r="V161" s="1">
        <v>45077</v>
      </c>
      <c r="W161">
        <v>4179.83</v>
      </c>
      <c r="Y161" s="1">
        <f t="shared" si="24"/>
        <v>45930</v>
      </c>
      <c r="Z161" s="1">
        <v>45930</v>
      </c>
      <c r="AA161">
        <v>73.489999999999995</v>
      </c>
      <c r="AG161" s="1">
        <f t="shared" si="26"/>
        <v>45443</v>
      </c>
      <c r="AH161" s="1">
        <v>45443</v>
      </c>
      <c r="AI161">
        <v>48.6</v>
      </c>
    </row>
    <row r="162" spans="1:35" x14ac:dyDescent="0.25">
      <c r="A162" s="1">
        <f t="shared" si="18"/>
        <v>45107</v>
      </c>
      <c r="B162" s="1">
        <v>45107</v>
      </c>
      <c r="C162">
        <v>140.3562</v>
      </c>
      <c r="E162" s="1">
        <f t="shared" si="19"/>
        <v>45747</v>
      </c>
      <c r="F162" s="1">
        <v>45747</v>
      </c>
      <c r="G162">
        <v>95.41</v>
      </c>
      <c r="I162" s="1">
        <f t="shared" si="20"/>
        <v>45107</v>
      </c>
      <c r="J162" s="1">
        <v>45107</v>
      </c>
      <c r="K162">
        <v>374.1</v>
      </c>
      <c r="M162" s="1">
        <f t="shared" si="21"/>
        <v>45107</v>
      </c>
      <c r="N162" s="1">
        <v>45107</v>
      </c>
      <c r="O162">
        <v>2151.5</v>
      </c>
      <c r="Q162" s="1">
        <f t="shared" si="22"/>
        <v>45107</v>
      </c>
      <c r="R162" s="1">
        <v>45107</v>
      </c>
      <c r="S162">
        <v>0.66639999999999999</v>
      </c>
      <c r="U162" s="1">
        <f t="shared" si="23"/>
        <v>45107</v>
      </c>
      <c r="V162" s="1">
        <v>45107</v>
      </c>
      <c r="W162">
        <v>4450.38</v>
      </c>
      <c r="Y162" s="1">
        <f t="shared" si="24"/>
        <v>45961</v>
      </c>
      <c r="Z162" s="1">
        <v>45961</v>
      </c>
      <c r="AA162">
        <v>72</v>
      </c>
      <c r="AG162" s="1">
        <f t="shared" si="26"/>
        <v>45473</v>
      </c>
      <c r="AH162" s="1">
        <v>45473</v>
      </c>
      <c r="AI162">
        <v>48.3</v>
      </c>
    </row>
    <row r="163" spans="1:35" x14ac:dyDescent="0.25">
      <c r="A163" s="1">
        <f t="shared" si="18"/>
        <v>45138</v>
      </c>
      <c r="B163" s="1">
        <v>45138</v>
      </c>
      <c r="C163">
        <v>146.3143</v>
      </c>
      <c r="E163" s="1">
        <f t="shared" si="19"/>
        <v>45777</v>
      </c>
      <c r="F163" s="1">
        <v>45777</v>
      </c>
      <c r="G163">
        <v>93.82</v>
      </c>
      <c r="I163" s="1">
        <f t="shared" si="20"/>
        <v>45138</v>
      </c>
      <c r="J163" s="1">
        <v>45138</v>
      </c>
      <c r="K163">
        <v>400.8</v>
      </c>
      <c r="M163" s="1">
        <f t="shared" si="21"/>
        <v>45138</v>
      </c>
      <c r="N163" s="1">
        <v>45138</v>
      </c>
      <c r="O163">
        <v>2282.5</v>
      </c>
      <c r="Q163" s="1">
        <f t="shared" si="22"/>
        <v>45138</v>
      </c>
      <c r="R163" s="1">
        <v>45138</v>
      </c>
      <c r="S163">
        <v>0.67169999999999996</v>
      </c>
      <c r="U163" s="1">
        <f t="shared" si="23"/>
        <v>45138</v>
      </c>
      <c r="V163" s="1">
        <v>45138</v>
      </c>
      <c r="W163">
        <v>4588.96</v>
      </c>
      <c r="Y163" s="1">
        <f t="shared" si="24"/>
        <v>45991</v>
      </c>
      <c r="Z163" s="1">
        <v>45991</v>
      </c>
      <c r="AA163">
        <v>69.87</v>
      </c>
      <c r="AG163" s="1">
        <f t="shared" si="26"/>
        <v>45504</v>
      </c>
      <c r="AH163" s="1">
        <v>45504</v>
      </c>
      <c r="AI163">
        <v>47.4</v>
      </c>
    </row>
    <row r="164" spans="1:35" x14ac:dyDescent="0.25">
      <c r="A164" s="1">
        <f t="shared" si="18"/>
        <v>45169</v>
      </c>
      <c r="B164" s="1">
        <v>45169</v>
      </c>
      <c r="C164">
        <v>141.37450000000001</v>
      </c>
      <c r="E164" s="1">
        <f t="shared" si="19"/>
        <v>45808</v>
      </c>
      <c r="F164" s="1">
        <v>45808</v>
      </c>
      <c r="G164">
        <v>91.91</v>
      </c>
      <c r="I164" s="1">
        <f t="shared" si="20"/>
        <v>45169</v>
      </c>
      <c r="J164" s="1">
        <v>45169</v>
      </c>
      <c r="K164">
        <v>377.25</v>
      </c>
      <c r="M164" s="1">
        <f t="shared" si="21"/>
        <v>45169</v>
      </c>
      <c r="N164" s="1">
        <v>45169</v>
      </c>
      <c r="O164">
        <v>2208</v>
      </c>
      <c r="Q164" s="1">
        <f t="shared" si="22"/>
        <v>45169</v>
      </c>
      <c r="R164" s="1">
        <v>45169</v>
      </c>
      <c r="S164">
        <v>0.64839999999999998</v>
      </c>
      <c r="U164" s="1">
        <f t="shared" si="23"/>
        <v>45169</v>
      </c>
      <c r="V164" s="1">
        <v>45169</v>
      </c>
      <c r="W164">
        <v>4507.66</v>
      </c>
      <c r="Y164" s="1">
        <f t="shared" si="24"/>
        <v>46022</v>
      </c>
      <c r="Z164" s="1">
        <v>46022</v>
      </c>
      <c r="AA164">
        <v>68.180000000000007</v>
      </c>
      <c r="AG164" s="1">
        <f t="shared" si="26"/>
        <v>45535</v>
      </c>
      <c r="AH164" s="1">
        <v>45535</v>
      </c>
      <c r="AI164">
        <v>47.7</v>
      </c>
    </row>
    <row r="165" spans="1:35" x14ac:dyDescent="0.25">
      <c r="A165" s="1">
        <f t="shared" si="18"/>
        <v>45199</v>
      </c>
      <c r="B165" s="1">
        <v>45198</v>
      </c>
      <c r="C165">
        <v>143.95320000000001</v>
      </c>
      <c r="E165" s="1">
        <f t="shared" si="19"/>
        <v>45838</v>
      </c>
      <c r="F165" s="1">
        <v>45838</v>
      </c>
      <c r="G165">
        <v>88.61</v>
      </c>
      <c r="I165" s="1">
        <f t="shared" si="20"/>
        <v>45199</v>
      </c>
      <c r="J165" s="1">
        <v>45198</v>
      </c>
      <c r="K165">
        <v>373.75</v>
      </c>
      <c r="M165" s="1">
        <f t="shared" si="21"/>
        <v>45199</v>
      </c>
      <c r="N165" s="1">
        <v>45198</v>
      </c>
      <c r="O165">
        <v>2347</v>
      </c>
      <c r="Q165" s="1">
        <f t="shared" si="22"/>
        <v>45199</v>
      </c>
      <c r="R165" s="1">
        <v>45198</v>
      </c>
      <c r="S165">
        <v>0.64349999999999996</v>
      </c>
      <c r="U165" s="1">
        <f t="shared" si="23"/>
        <v>45199</v>
      </c>
      <c r="V165" s="1">
        <v>45198</v>
      </c>
      <c r="W165">
        <v>4288.05</v>
      </c>
      <c r="AG165" s="1">
        <f t="shared" si="26"/>
        <v>45565</v>
      </c>
      <c r="AH165" s="1">
        <v>45565</v>
      </c>
      <c r="AI165">
        <v>47.3</v>
      </c>
    </row>
    <row r="166" spans="1:35" x14ac:dyDescent="0.25">
      <c r="A166" s="1">
        <f t="shared" si="18"/>
        <v>45230</v>
      </c>
      <c r="B166" s="1">
        <v>45230</v>
      </c>
      <c r="C166">
        <v>145.53649999999999</v>
      </c>
      <c r="E166" s="1">
        <f t="shared" si="19"/>
        <v>45869</v>
      </c>
      <c r="F166" s="1">
        <v>45869</v>
      </c>
      <c r="G166">
        <v>95.73</v>
      </c>
      <c r="I166" s="1">
        <f t="shared" si="20"/>
        <v>45230</v>
      </c>
      <c r="J166" s="1">
        <v>45230</v>
      </c>
      <c r="K166">
        <v>364.9</v>
      </c>
      <c r="M166" s="1">
        <f t="shared" si="21"/>
        <v>45230</v>
      </c>
      <c r="N166" s="1">
        <v>45230</v>
      </c>
      <c r="O166">
        <v>2251.5</v>
      </c>
      <c r="Q166" s="1">
        <f t="shared" si="22"/>
        <v>45230</v>
      </c>
      <c r="R166" s="1">
        <v>45230</v>
      </c>
      <c r="S166">
        <v>0.63370000000000004</v>
      </c>
      <c r="U166" s="1">
        <f t="shared" si="23"/>
        <v>45230</v>
      </c>
      <c r="V166" s="1">
        <v>45230</v>
      </c>
      <c r="W166">
        <v>4193.8</v>
      </c>
      <c r="AG166" s="1">
        <f t="shared" si="26"/>
        <v>45596</v>
      </c>
      <c r="AH166" s="1">
        <v>45596</v>
      </c>
      <c r="AI166">
        <v>47</v>
      </c>
    </row>
    <row r="167" spans="1:35" x14ac:dyDescent="0.25">
      <c r="A167" s="1">
        <f t="shared" si="18"/>
        <v>45260</v>
      </c>
      <c r="B167" s="1">
        <v>45260</v>
      </c>
      <c r="C167">
        <v>156.28100000000001</v>
      </c>
      <c r="E167" s="1">
        <f t="shared" si="19"/>
        <v>45900</v>
      </c>
      <c r="F167" s="1">
        <v>45900</v>
      </c>
      <c r="G167">
        <v>98.14</v>
      </c>
      <c r="I167" s="1">
        <f t="shared" si="20"/>
        <v>45260</v>
      </c>
      <c r="J167" s="1">
        <v>45260</v>
      </c>
      <c r="K167">
        <v>382.9</v>
      </c>
      <c r="M167" s="1">
        <f t="shared" si="21"/>
        <v>45260</v>
      </c>
      <c r="N167" s="1">
        <v>45260</v>
      </c>
      <c r="O167">
        <v>2193</v>
      </c>
      <c r="Q167" s="1">
        <f t="shared" si="22"/>
        <v>45260</v>
      </c>
      <c r="R167" s="1">
        <v>45260</v>
      </c>
      <c r="S167">
        <v>0.66049999999999998</v>
      </c>
      <c r="U167" s="1">
        <f t="shared" si="23"/>
        <v>45260</v>
      </c>
      <c r="V167" s="1">
        <v>45260</v>
      </c>
      <c r="W167">
        <v>4567.8</v>
      </c>
      <c r="AG167" s="1">
        <f t="shared" si="26"/>
        <v>45626</v>
      </c>
      <c r="AH167" s="1">
        <v>45626</v>
      </c>
      <c r="AI167">
        <v>48.4</v>
      </c>
    </row>
    <row r="168" spans="1:35" x14ac:dyDescent="0.25">
      <c r="A168" s="1">
        <f t="shared" si="18"/>
        <v>45291</v>
      </c>
      <c r="B168" s="1">
        <v>45289</v>
      </c>
      <c r="C168">
        <v>168.42789999999999</v>
      </c>
      <c r="E168" s="1">
        <f t="shared" si="19"/>
        <v>45930</v>
      </c>
      <c r="F168" s="1">
        <v>45930</v>
      </c>
      <c r="G168">
        <v>98.16</v>
      </c>
      <c r="I168" s="1">
        <f t="shared" si="20"/>
        <v>45291</v>
      </c>
      <c r="J168" s="1">
        <v>45289</v>
      </c>
      <c r="K168">
        <v>389.05</v>
      </c>
      <c r="M168" s="1">
        <f t="shared" si="21"/>
        <v>45291</v>
      </c>
      <c r="N168" s="1">
        <v>45289</v>
      </c>
      <c r="O168">
        <v>2384</v>
      </c>
      <c r="Q168" s="1">
        <f t="shared" si="22"/>
        <v>45291</v>
      </c>
      <c r="R168" s="1">
        <v>45289</v>
      </c>
      <c r="S168">
        <v>0.68120000000000003</v>
      </c>
      <c r="U168" s="1">
        <f t="shared" si="23"/>
        <v>45291</v>
      </c>
      <c r="V168" s="1">
        <v>45289</v>
      </c>
      <c r="W168">
        <v>4769.83</v>
      </c>
      <c r="AG168" s="1">
        <f t="shared" si="26"/>
        <v>45657</v>
      </c>
      <c r="AH168" s="1">
        <v>45657</v>
      </c>
      <c r="AI168">
        <v>49.2</v>
      </c>
    </row>
    <row r="169" spans="1:35" x14ac:dyDescent="0.25">
      <c r="A169" s="1">
        <f t="shared" si="18"/>
        <v>45322</v>
      </c>
      <c r="B169" s="1">
        <v>45322</v>
      </c>
      <c r="C169">
        <v>156.68819999999999</v>
      </c>
      <c r="E169" s="1">
        <f t="shared" si="19"/>
        <v>45961</v>
      </c>
      <c r="F169" s="1">
        <v>45961</v>
      </c>
      <c r="G169">
        <v>101.46</v>
      </c>
      <c r="I169" s="1">
        <f t="shared" si="20"/>
        <v>45322</v>
      </c>
      <c r="J169" s="1">
        <v>45322</v>
      </c>
      <c r="K169">
        <v>390.6</v>
      </c>
      <c r="M169" s="1">
        <f t="shared" si="21"/>
        <v>45322</v>
      </c>
      <c r="N169" s="1">
        <v>45322</v>
      </c>
      <c r="O169">
        <v>2280</v>
      </c>
      <c r="Q169" s="1">
        <f t="shared" si="22"/>
        <v>45322</v>
      </c>
      <c r="R169" s="1">
        <v>45322</v>
      </c>
      <c r="S169">
        <v>0.65680000000000005</v>
      </c>
      <c r="U169" s="1">
        <f t="shared" si="23"/>
        <v>45322</v>
      </c>
      <c r="V169" s="1">
        <v>45322</v>
      </c>
      <c r="W169">
        <v>4845.6499999999996</v>
      </c>
      <c r="AG169" s="1">
        <f t="shared" si="26"/>
        <v>45688</v>
      </c>
      <c r="AH169" s="1">
        <v>45688</v>
      </c>
      <c r="AI169">
        <v>50.5</v>
      </c>
    </row>
    <row r="170" spans="1:35" x14ac:dyDescent="0.25">
      <c r="A170" s="1">
        <f t="shared" si="18"/>
        <v>45351</v>
      </c>
      <c r="B170" s="1">
        <v>45351</v>
      </c>
      <c r="C170">
        <v>145.96629999999999</v>
      </c>
      <c r="E170" s="1">
        <f t="shared" si="19"/>
        <v>45991</v>
      </c>
      <c r="F170" s="1">
        <v>45991</v>
      </c>
      <c r="G170">
        <v>101.01</v>
      </c>
      <c r="I170" s="1">
        <f t="shared" si="20"/>
        <v>45351</v>
      </c>
      <c r="J170" s="1">
        <v>45351</v>
      </c>
      <c r="K170">
        <v>383.45</v>
      </c>
      <c r="M170" s="1">
        <f t="shared" si="21"/>
        <v>45351</v>
      </c>
      <c r="N170" s="1">
        <v>45351</v>
      </c>
      <c r="O170">
        <v>2228</v>
      </c>
      <c r="Q170" s="1">
        <f t="shared" si="22"/>
        <v>45351</v>
      </c>
      <c r="R170" s="1">
        <v>45351</v>
      </c>
      <c r="S170">
        <v>0.64970000000000006</v>
      </c>
      <c r="U170" s="1">
        <f t="shared" si="23"/>
        <v>45351</v>
      </c>
      <c r="V170" s="1">
        <v>45351</v>
      </c>
      <c r="W170">
        <v>5096.2700000000004</v>
      </c>
      <c r="AG170" s="1">
        <f t="shared" si="26"/>
        <v>45716</v>
      </c>
      <c r="AH170" s="1">
        <v>45716</v>
      </c>
      <c r="AI170">
        <v>50</v>
      </c>
    </row>
    <row r="171" spans="1:35" x14ac:dyDescent="0.25">
      <c r="A171" s="1">
        <f t="shared" si="18"/>
        <v>45382</v>
      </c>
      <c r="B171" s="1">
        <v>45380</v>
      </c>
      <c r="C171">
        <v>150.02170000000001</v>
      </c>
      <c r="E171" s="1">
        <f t="shared" si="19"/>
        <v>46022</v>
      </c>
      <c r="F171" s="1">
        <v>46022</v>
      </c>
      <c r="G171">
        <v>103.92</v>
      </c>
      <c r="I171" s="1">
        <f t="shared" si="20"/>
        <v>45382</v>
      </c>
      <c r="J171" s="1">
        <v>45380</v>
      </c>
      <c r="K171">
        <v>400.7</v>
      </c>
      <c r="M171" s="1">
        <f t="shared" si="21"/>
        <v>45382</v>
      </c>
      <c r="N171" s="1">
        <v>45380</v>
      </c>
      <c r="O171">
        <v>2337</v>
      </c>
      <c r="Q171" s="1">
        <f t="shared" si="22"/>
        <v>45382</v>
      </c>
      <c r="R171" s="1">
        <v>45380</v>
      </c>
      <c r="S171">
        <v>0.65210000000000001</v>
      </c>
      <c r="U171" s="1">
        <f t="shared" si="23"/>
        <v>45382</v>
      </c>
      <c r="V171" s="1">
        <v>45380</v>
      </c>
      <c r="W171">
        <v>5254.35</v>
      </c>
      <c r="AG171" s="1">
        <f t="shared" si="26"/>
        <v>45747</v>
      </c>
      <c r="AH171" s="1">
        <v>45747</v>
      </c>
      <c r="AI171">
        <v>48.9</v>
      </c>
    </row>
    <row r="172" spans="1:35" x14ac:dyDescent="0.25">
      <c r="A172" s="1">
        <f t="shared" si="18"/>
        <v>45412</v>
      </c>
      <c r="B172" s="1">
        <v>45412</v>
      </c>
      <c r="C172">
        <v>159.6481</v>
      </c>
      <c r="E172" s="1">
        <f t="shared" si="19"/>
        <v>46053</v>
      </c>
      <c r="F172" s="1">
        <v>46053</v>
      </c>
      <c r="G172">
        <v>103.61</v>
      </c>
      <c r="I172" s="1">
        <f t="shared" si="20"/>
        <v>45412</v>
      </c>
      <c r="J172" s="1">
        <v>45412</v>
      </c>
      <c r="K172">
        <v>456.45</v>
      </c>
      <c r="M172" s="1">
        <f t="shared" si="21"/>
        <v>45412</v>
      </c>
      <c r="N172" s="1">
        <v>45412</v>
      </c>
      <c r="O172">
        <v>2591.5</v>
      </c>
      <c r="Q172" s="1">
        <f t="shared" si="22"/>
        <v>45412</v>
      </c>
      <c r="R172" s="1">
        <v>45412</v>
      </c>
      <c r="S172">
        <v>0.64729999999999999</v>
      </c>
      <c r="U172" s="1">
        <f t="shared" si="23"/>
        <v>45412</v>
      </c>
      <c r="V172" s="1">
        <v>45412</v>
      </c>
      <c r="W172">
        <v>5035.6899999999996</v>
      </c>
      <c r="AG172" s="1">
        <f t="shared" si="26"/>
        <v>45777</v>
      </c>
      <c r="AH172" s="1">
        <v>45777</v>
      </c>
      <c r="AI172">
        <v>48.8</v>
      </c>
    </row>
    <row r="173" spans="1:35" x14ac:dyDescent="0.25">
      <c r="A173" s="1">
        <f t="shared" si="18"/>
        <v>45443</v>
      </c>
      <c r="B173" s="1">
        <v>45443</v>
      </c>
      <c r="C173">
        <v>164.99090000000001</v>
      </c>
      <c r="E173" s="1">
        <f t="shared" si="19"/>
        <v>46081</v>
      </c>
      <c r="F173" s="1">
        <v>46081</v>
      </c>
      <c r="G173">
        <v>99.47</v>
      </c>
      <c r="I173" s="1">
        <f t="shared" si="20"/>
        <v>45443</v>
      </c>
      <c r="J173" s="1">
        <v>45443</v>
      </c>
      <c r="K173">
        <v>460.2</v>
      </c>
      <c r="M173" s="1">
        <f t="shared" si="21"/>
        <v>45443</v>
      </c>
      <c r="N173" s="1">
        <v>45443</v>
      </c>
      <c r="O173">
        <v>2652.5</v>
      </c>
      <c r="Q173" s="1">
        <f t="shared" si="22"/>
        <v>45443</v>
      </c>
      <c r="R173" s="1">
        <v>45443</v>
      </c>
      <c r="S173">
        <v>0.6653</v>
      </c>
      <c r="U173" s="1">
        <f t="shared" si="23"/>
        <v>45443</v>
      </c>
      <c r="V173" s="1">
        <v>45443</v>
      </c>
      <c r="W173">
        <v>5277.51</v>
      </c>
      <c r="AG173" s="1">
        <f t="shared" si="26"/>
        <v>45808</v>
      </c>
      <c r="AH173" s="1">
        <v>45808</v>
      </c>
      <c r="AI173">
        <v>48.6</v>
      </c>
    </row>
    <row r="174" spans="1:35" x14ac:dyDescent="0.25">
      <c r="A174" s="1">
        <f t="shared" si="18"/>
        <v>45473</v>
      </c>
      <c r="B174" s="1">
        <v>45471</v>
      </c>
      <c r="C174">
        <v>155.17619999999999</v>
      </c>
      <c r="I174" s="1">
        <f t="shared" si="20"/>
        <v>45473</v>
      </c>
      <c r="J174" s="1">
        <v>45471</v>
      </c>
      <c r="K174">
        <v>439.05</v>
      </c>
      <c r="M174" s="1">
        <f t="shared" si="21"/>
        <v>45473</v>
      </c>
      <c r="N174" s="1">
        <v>45471</v>
      </c>
      <c r="O174">
        <v>2524.5</v>
      </c>
      <c r="Q174" s="1">
        <f t="shared" si="22"/>
        <v>45473</v>
      </c>
      <c r="R174" s="1">
        <v>45471</v>
      </c>
      <c r="S174">
        <v>0.66700000000000004</v>
      </c>
      <c r="U174" s="1">
        <f t="shared" si="23"/>
        <v>45473</v>
      </c>
      <c r="V174" s="1">
        <v>45471</v>
      </c>
      <c r="W174">
        <v>5460.48</v>
      </c>
      <c r="AG174" s="1">
        <f t="shared" si="26"/>
        <v>45838</v>
      </c>
      <c r="AH174" s="1">
        <v>45838</v>
      </c>
      <c r="AI174">
        <v>49</v>
      </c>
    </row>
    <row r="175" spans="1:35" x14ac:dyDescent="0.25">
      <c r="A175" s="1">
        <f t="shared" si="18"/>
        <v>45504</v>
      </c>
      <c r="B175" s="1">
        <v>45504</v>
      </c>
      <c r="C175">
        <v>153.3639</v>
      </c>
      <c r="I175" s="1">
        <f t="shared" si="20"/>
        <v>45504</v>
      </c>
      <c r="J175" s="1">
        <v>45504</v>
      </c>
      <c r="K175">
        <v>417.65</v>
      </c>
      <c r="M175" s="1">
        <f t="shared" si="21"/>
        <v>45504</v>
      </c>
      <c r="N175" s="1">
        <v>45504</v>
      </c>
      <c r="O175">
        <v>2290.5</v>
      </c>
      <c r="Q175" s="1">
        <f t="shared" si="22"/>
        <v>45504</v>
      </c>
      <c r="R175" s="1">
        <v>45504</v>
      </c>
      <c r="S175">
        <v>0.6542</v>
      </c>
      <c r="U175" s="1">
        <f t="shared" si="23"/>
        <v>45504</v>
      </c>
      <c r="V175" s="1">
        <v>45504</v>
      </c>
      <c r="W175">
        <v>5522.3</v>
      </c>
      <c r="AG175" s="1">
        <f t="shared" si="26"/>
        <v>45869</v>
      </c>
      <c r="AH175" s="1">
        <v>45869</v>
      </c>
      <c r="AI175">
        <v>48.4</v>
      </c>
    </row>
    <row r="176" spans="1:35" x14ac:dyDescent="0.25">
      <c r="A176" s="1">
        <f t="shared" si="18"/>
        <v>45535</v>
      </c>
      <c r="B176" s="1">
        <v>45534</v>
      </c>
      <c r="C176">
        <v>153.2167</v>
      </c>
      <c r="I176" s="1">
        <f t="shared" si="20"/>
        <v>45535</v>
      </c>
      <c r="J176" s="1">
        <v>45534</v>
      </c>
      <c r="K176">
        <v>414.5</v>
      </c>
      <c r="M176" s="1">
        <f t="shared" si="21"/>
        <v>45535</v>
      </c>
      <c r="N176" s="1">
        <v>45534</v>
      </c>
      <c r="O176">
        <v>2447</v>
      </c>
      <c r="Q176" s="1">
        <f t="shared" si="22"/>
        <v>45535</v>
      </c>
      <c r="R176" s="1">
        <v>45534</v>
      </c>
      <c r="S176">
        <v>0.67649999999999999</v>
      </c>
      <c r="U176" s="1">
        <f t="shared" si="23"/>
        <v>45535</v>
      </c>
      <c r="V176" s="1">
        <v>45534</v>
      </c>
      <c r="W176">
        <v>5648.4</v>
      </c>
      <c r="AG176" s="1">
        <f t="shared" si="26"/>
        <v>45900</v>
      </c>
      <c r="AH176" s="1">
        <v>45900</v>
      </c>
      <c r="AI176">
        <v>48.9</v>
      </c>
    </row>
    <row r="177" spans="1:35" x14ac:dyDescent="0.25">
      <c r="A177" s="1">
        <f t="shared" si="18"/>
        <v>45565</v>
      </c>
      <c r="B177" s="1">
        <v>45565</v>
      </c>
      <c r="C177">
        <v>172.3476</v>
      </c>
      <c r="I177" s="1">
        <f t="shared" si="20"/>
        <v>45565</v>
      </c>
      <c r="J177" s="1">
        <v>45565</v>
      </c>
      <c r="K177">
        <v>455.3</v>
      </c>
      <c r="M177" s="1">
        <f t="shared" si="21"/>
        <v>45565</v>
      </c>
      <c r="N177" s="1">
        <v>45565</v>
      </c>
      <c r="O177">
        <v>2611.5</v>
      </c>
      <c r="Q177" s="1">
        <f t="shared" si="22"/>
        <v>45565</v>
      </c>
      <c r="R177" s="1">
        <v>45565</v>
      </c>
      <c r="S177">
        <v>0.69130000000000003</v>
      </c>
      <c r="U177" s="1">
        <f t="shared" si="23"/>
        <v>45565</v>
      </c>
      <c r="V177" s="1">
        <v>45565</v>
      </c>
      <c r="W177">
        <v>5762.48</v>
      </c>
      <c r="AG177" s="1">
        <f t="shared" si="26"/>
        <v>45930</v>
      </c>
      <c r="AH177" s="1">
        <v>45930</v>
      </c>
      <c r="AI177">
        <v>48.9</v>
      </c>
    </row>
    <row r="178" spans="1:35" x14ac:dyDescent="0.25">
      <c r="A178" s="1">
        <f t="shared" si="18"/>
        <v>45596</v>
      </c>
      <c r="B178" s="1">
        <v>45596</v>
      </c>
      <c r="C178">
        <v>157.13980000000001</v>
      </c>
      <c r="I178" s="1">
        <f t="shared" si="20"/>
        <v>45596</v>
      </c>
      <c r="J178" s="1">
        <v>45596</v>
      </c>
      <c r="K178">
        <v>434</v>
      </c>
      <c r="M178" s="1">
        <f t="shared" si="21"/>
        <v>45596</v>
      </c>
      <c r="N178" s="1">
        <v>45596</v>
      </c>
      <c r="O178">
        <v>2617.5</v>
      </c>
      <c r="Q178" s="1">
        <f t="shared" si="22"/>
        <v>45596</v>
      </c>
      <c r="R178" s="1">
        <v>45596</v>
      </c>
      <c r="S178">
        <v>0.65820000000000001</v>
      </c>
      <c r="U178" s="1">
        <f t="shared" si="23"/>
        <v>45596</v>
      </c>
      <c r="V178" s="1">
        <v>45596</v>
      </c>
      <c r="W178">
        <v>5705.45</v>
      </c>
      <c r="AG178" s="1">
        <f t="shared" si="26"/>
        <v>45961</v>
      </c>
      <c r="AH178" s="1">
        <v>45961</v>
      </c>
      <c r="AI178">
        <v>48.8</v>
      </c>
    </row>
    <row r="179" spans="1:35" x14ac:dyDescent="0.25">
      <c r="A179" s="1">
        <f t="shared" si="18"/>
        <v>45626</v>
      </c>
      <c r="B179" s="1">
        <v>45625</v>
      </c>
      <c r="C179">
        <v>152.1754</v>
      </c>
      <c r="I179" s="1">
        <f t="shared" si="20"/>
        <v>45626</v>
      </c>
      <c r="J179" s="1">
        <v>45625</v>
      </c>
      <c r="K179">
        <v>408.05</v>
      </c>
      <c r="M179" s="1">
        <f t="shared" si="21"/>
        <v>45626</v>
      </c>
      <c r="N179" s="1">
        <v>45625</v>
      </c>
      <c r="O179">
        <v>2594</v>
      </c>
      <c r="Q179" s="1">
        <f t="shared" si="22"/>
        <v>45626</v>
      </c>
      <c r="R179" s="1">
        <v>45625</v>
      </c>
      <c r="S179">
        <v>0.6512</v>
      </c>
      <c r="U179" s="1">
        <f t="shared" si="23"/>
        <v>45626</v>
      </c>
      <c r="V179" s="1">
        <v>45625</v>
      </c>
      <c r="W179">
        <v>6032.38</v>
      </c>
      <c r="AG179" s="1">
        <f t="shared" si="26"/>
        <v>45991</v>
      </c>
      <c r="AH179" s="1">
        <v>45991</v>
      </c>
      <c r="AI179">
        <v>48</v>
      </c>
    </row>
    <row r="180" spans="1:35" x14ac:dyDescent="0.25">
      <c r="A180" s="1">
        <f t="shared" si="18"/>
        <v>45657</v>
      </c>
      <c r="B180" s="1">
        <v>45657</v>
      </c>
      <c r="C180">
        <v>142.41630000000001</v>
      </c>
      <c r="I180" s="1">
        <f t="shared" si="20"/>
        <v>45657</v>
      </c>
      <c r="J180" s="1">
        <v>45657</v>
      </c>
      <c r="K180">
        <v>402.65</v>
      </c>
      <c r="M180" s="1">
        <f t="shared" si="21"/>
        <v>45657</v>
      </c>
      <c r="N180" s="1">
        <v>45657</v>
      </c>
      <c r="O180">
        <v>2551.5</v>
      </c>
      <c r="Q180" s="1">
        <f t="shared" si="22"/>
        <v>45657</v>
      </c>
      <c r="R180" s="1">
        <v>45657</v>
      </c>
      <c r="S180">
        <v>0.61880000000000002</v>
      </c>
      <c r="U180" s="1">
        <f t="shared" si="23"/>
        <v>45657</v>
      </c>
      <c r="V180" s="1">
        <v>45657</v>
      </c>
      <c r="W180">
        <v>5881.63</v>
      </c>
      <c r="AG180" s="1">
        <f t="shared" si="26"/>
        <v>46022</v>
      </c>
      <c r="AH180" s="1">
        <v>46022</v>
      </c>
      <c r="AI180">
        <v>47.9</v>
      </c>
    </row>
    <row r="181" spans="1:35" x14ac:dyDescent="0.25">
      <c r="A181" s="1">
        <f t="shared" si="18"/>
        <v>45688</v>
      </c>
      <c r="B181" s="1">
        <v>45688</v>
      </c>
      <c r="C181">
        <v>146.29089999999999</v>
      </c>
      <c r="I181" s="1">
        <f t="shared" si="20"/>
        <v>45688</v>
      </c>
      <c r="J181" s="1">
        <v>45688</v>
      </c>
      <c r="K181">
        <v>427.9</v>
      </c>
      <c r="M181" s="1">
        <f t="shared" si="21"/>
        <v>45688</v>
      </c>
      <c r="N181" s="1">
        <v>45688</v>
      </c>
      <c r="O181">
        <v>2594</v>
      </c>
      <c r="Q181" s="1">
        <f t="shared" si="22"/>
        <v>45688</v>
      </c>
      <c r="R181" s="1">
        <v>45688</v>
      </c>
      <c r="S181">
        <v>0.62180000000000002</v>
      </c>
      <c r="U181" s="1">
        <f t="shared" si="23"/>
        <v>45688</v>
      </c>
      <c r="V181" s="1">
        <v>45688</v>
      </c>
      <c r="W181">
        <v>6040.53</v>
      </c>
      <c r="AG181" s="1">
        <f t="shared" si="26"/>
        <v>46053</v>
      </c>
      <c r="AH181" s="1">
        <v>46053</v>
      </c>
      <c r="AI181">
        <v>52.6</v>
      </c>
    </row>
    <row r="182" spans="1:35" x14ac:dyDescent="0.25">
      <c r="A182" s="1">
        <f t="shared" si="18"/>
        <v>45716</v>
      </c>
      <c r="B182" s="1">
        <v>45716</v>
      </c>
      <c r="C182">
        <v>146.6541</v>
      </c>
      <c r="I182" s="1">
        <f t="shared" si="20"/>
        <v>45716</v>
      </c>
      <c r="J182" s="1">
        <v>45716</v>
      </c>
      <c r="K182">
        <v>451.45</v>
      </c>
      <c r="M182" s="1">
        <f t="shared" si="21"/>
        <v>45716</v>
      </c>
      <c r="N182" s="1">
        <v>45716</v>
      </c>
      <c r="O182">
        <v>2605.5</v>
      </c>
      <c r="Q182" s="1">
        <f t="shared" si="22"/>
        <v>45716</v>
      </c>
      <c r="R182" s="1">
        <v>45716</v>
      </c>
      <c r="S182">
        <v>0.62090000000000001</v>
      </c>
      <c r="U182" s="1">
        <f t="shared" si="23"/>
        <v>45716</v>
      </c>
      <c r="V182" s="1">
        <v>45716</v>
      </c>
      <c r="W182">
        <v>5954.5</v>
      </c>
      <c r="AG182" s="1">
        <f t="shared" si="26"/>
        <v>46081</v>
      </c>
      <c r="AH182" s="1">
        <v>46081</v>
      </c>
      <c r="AI182">
        <v>52.4</v>
      </c>
    </row>
    <row r="183" spans="1:35" x14ac:dyDescent="0.25">
      <c r="A183" s="1">
        <f t="shared" si="18"/>
        <v>45747</v>
      </c>
      <c r="B183" s="1">
        <v>45747</v>
      </c>
      <c r="C183">
        <v>150.74539999999999</v>
      </c>
      <c r="I183" s="1">
        <f t="shared" si="20"/>
        <v>45747</v>
      </c>
      <c r="J183" s="1">
        <v>45747</v>
      </c>
      <c r="K183">
        <v>503.4</v>
      </c>
      <c r="M183" s="1">
        <f t="shared" si="21"/>
        <v>45747</v>
      </c>
      <c r="N183" s="1">
        <v>45747</v>
      </c>
      <c r="O183">
        <v>2533</v>
      </c>
      <c r="Q183" s="1">
        <f t="shared" si="22"/>
        <v>45747</v>
      </c>
      <c r="R183" s="1">
        <v>45747</v>
      </c>
      <c r="S183">
        <v>0.62470000000000003</v>
      </c>
      <c r="U183" s="1">
        <f t="shared" si="23"/>
        <v>45747</v>
      </c>
      <c r="V183" s="1">
        <v>45747</v>
      </c>
      <c r="W183">
        <v>5611.85</v>
      </c>
    </row>
    <row r="184" spans="1:35" x14ac:dyDescent="0.25">
      <c r="A184" s="1">
        <f t="shared" si="18"/>
        <v>45777</v>
      </c>
      <c r="B184" s="1">
        <v>45777</v>
      </c>
      <c r="C184">
        <v>149.03919999999999</v>
      </c>
      <c r="I184" s="1">
        <f t="shared" si="20"/>
        <v>45777</v>
      </c>
      <c r="J184" s="1">
        <v>45777</v>
      </c>
      <c r="K184">
        <v>456</v>
      </c>
      <c r="M184" s="1">
        <f t="shared" si="21"/>
        <v>45777</v>
      </c>
      <c r="N184" s="1">
        <v>45777</v>
      </c>
      <c r="O184">
        <v>2399.5</v>
      </c>
      <c r="Q184" s="1">
        <f t="shared" si="22"/>
        <v>45777</v>
      </c>
      <c r="R184" s="1">
        <v>45777</v>
      </c>
      <c r="S184">
        <v>0.64019999999999999</v>
      </c>
      <c r="U184" s="1">
        <f t="shared" si="23"/>
        <v>45777</v>
      </c>
      <c r="V184" s="1">
        <v>45777</v>
      </c>
      <c r="W184">
        <v>5569.06</v>
      </c>
    </row>
    <row r="185" spans="1:35" x14ac:dyDescent="0.25">
      <c r="A185" s="1">
        <f t="shared" si="18"/>
        <v>45808</v>
      </c>
      <c r="B185" s="1">
        <v>45807</v>
      </c>
      <c r="C185">
        <v>149.11449999999999</v>
      </c>
      <c r="I185" s="1">
        <f t="shared" si="20"/>
        <v>45808</v>
      </c>
      <c r="J185" s="1">
        <v>45807</v>
      </c>
      <c r="K185">
        <v>467.75</v>
      </c>
      <c r="M185" s="1">
        <f t="shared" si="21"/>
        <v>45808</v>
      </c>
      <c r="N185" s="1">
        <v>45807</v>
      </c>
      <c r="O185">
        <v>2444</v>
      </c>
      <c r="Q185" s="1">
        <f t="shared" si="22"/>
        <v>45808</v>
      </c>
      <c r="R185" s="1">
        <v>45807</v>
      </c>
      <c r="S185">
        <v>0.6431</v>
      </c>
      <c r="U185" s="1">
        <f t="shared" si="23"/>
        <v>45808</v>
      </c>
      <c r="V185" s="1">
        <v>45807</v>
      </c>
      <c r="W185">
        <v>5911.69</v>
      </c>
    </row>
    <row r="186" spans="1:35" x14ac:dyDescent="0.25">
      <c r="A186" s="1">
        <f t="shared" si="18"/>
        <v>45838</v>
      </c>
      <c r="B186" s="1">
        <v>45838</v>
      </c>
      <c r="C186">
        <v>146.3545</v>
      </c>
      <c r="I186" s="1">
        <f t="shared" si="20"/>
        <v>45838</v>
      </c>
      <c r="J186" s="1">
        <v>45838</v>
      </c>
      <c r="K186">
        <v>503</v>
      </c>
      <c r="M186" s="1">
        <f t="shared" si="21"/>
        <v>45838</v>
      </c>
      <c r="N186" s="1">
        <v>45838</v>
      </c>
      <c r="O186">
        <v>2597.5</v>
      </c>
      <c r="Q186" s="1">
        <f t="shared" si="22"/>
        <v>45838</v>
      </c>
      <c r="R186" s="1">
        <v>45838</v>
      </c>
      <c r="S186">
        <v>0.65810000000000002</v>
      </c>
      <c r="U186" s="1">
        <f t="shared" si="23"/>
        <v>45838</v>
      </c>
      <c r="V186" s="1">
        <v>45838</v>
      </c>
      <c r="W186">
        <v>6204.95</v>
      </c>
    </row>
    <row r="187" spans="1:35" x14ac:dyDescent="0.25">
      <c r="A187" s="1">
        <f t="shared" si="18"/>
        <v>45869</v>
      </c>
      <c r="B187" s="1">
        <v>45869</v>
      </c>
      <c r="C187">
        <v>149.9676</v>
      </c>
      <c r="I187" s="1">
        <f t="shared" si="20"/>
        <v>45869</v>
      </c>
      <c r="J187" s="1">
        <v>45869</v>
      </c>
      <c r="K187">
        <v>435.45</v>
      </c>
      <c r="M187" s="1">
        <f t="shared" si="21"/>
        <v>45869</v>
      </c>
      <c r="N187" s="1">
        <v>45869</v>
      </c>
      <c r="O187">
        <v>2565</v>
      </c>
      <c r="Q187" s="1">
        <f t="shared" si="22"/>
        <v>45869</v>
      </c>
      <c r="R187" s="1">
        <v>45869</v>
      </c>
      <c r="S187">
        <v>0.64249999999999996</v>
      </c>
      <c r="U187" s="1">
        <f t="shared" si="23"/>
        <v>45869</v>
      </c>
      <c r="V187" s="1">
        <v>45869</v>
      </c>
      <c r="W187">
        <v>6339.39</v>
      </c>
    </row>
    <row r="188" spans="1:35" x14ac:dyDescent="0.25">
      <c r="A188" s="1">
        <f t="shared" si="18"/>
        <v>45900</v>
      </c>
      <c r="B188" s="1">
        <v>45898</v>
      </c>
      <c r="C188">
        <v>161.17250000000001</v>
      </c>
      <c r="I188" s="1">
        <f t="shared" si="20"/>
        <v>45900</v>
      </c>
      <c r="J188" s="1">
        <v>45898</v>
      </c>
      <c r="K188">
        <v>451.85</v>
      </c>
      <c r="M188" s="1">
        <f t="shared" si="21"/>
        <v>45900</v>
      </c>
      <c r="N188" s="1">
        <v>45898</v>
      </c>
      <c r="O188">
        <v>2615.5</v>
      </c>
      <c r="Q188" s="1">
        <f t="shared" si="22"/>
        <v>45900</v>
      </c>
      <c r="R188" s="1">
        <v>45898</v>
      </c>
      <c r="S188">
        <v>0.65400000000000003</v>
      </c>
      <c r="U188" s="1">
        <f t="shared" si="23"/>
        <v>45900</v>
      </c>
      <c r="V188" s="1">
        <v>45898</v>
      </c>
      <c r="W188">
        <v>6460.26</v>
      </c>
    </row>
    <row r="189" spans="1:35" x14ac:dyDescent="0.25">
      <c r="A189" s="1">
        <f t="shared" si="18"/>
        <v>45930</v>
      </c>
      <c r="B189" s="1">
        <v>45930</v>
      </c>
      <c r="C189">
        <v>169.62690000000001</v>
      </c>
      <c r="I189" s="1">
        <f t="shared" si="20"/>
        <v>45930</v>
      </c>
      <c r="J189" s="1">
        <v>45930</v>
      </c>
      <c r="K189">
        <v>485.65</v>
      </c>
      <c r="M189" s="1">
        <f t="shared" si="21"/>
        <v>45930</v>
      </c>
      <c r="N189" s="1">
        <v>45930</v>
      </c>
      <c r="O189">
        <v>2680.5</v>
      </c>
      <c r="Q189" s="1">
        <f t="shared" si="22"/>
        <v>45930</v>
      </c>
      <c r="R189" s="1">
        <v>45930</v>
      </c>
      <c r="S189">
        <v>0.6613</v>
      </c>
      <c r="U189" s="1">
        <f t="shared" si="23"/>
        <v>45930</v>
      </c>
      <c r="V189" s="1">
        <v>45930</v>
      </c>
      <c r="W189">
        <v>6688.46</v>
      </c>
    </row>
    <row r="190" spans="1:35" x14ac:dyDescent="0.25">
      <c r="A190" s="1">
        <f t="shared" si="18"/>
        <v>45961</v>
      </c>
      <c r="B190" s="1">
        <v>45961</v>
      </c>
      <c r="C190">
        <v>184.35140000000001</v>
      </c>
      <c r="I190" s="1">
        <f t="shared" si="20"/>
        <v>45961</v>
      </c>
      <c r="J190" s="1">
        <v>45961</v>
      </c>
      <c r="K190">
        <v>508.9</v>
      </c>
      <c r="M190" s="1">
        <f t="shared" si="21"/>
        <v>45961</v>
      </c>
      <c r="N190" s="1">
        <v>45961</v>
      </c>
      <c r="O190">
        <v>2884</v>
      </c>
      <c r="Q190" s="1">
        <f t="shared" si="22"/>
        <v>45961</v>
      </c>
      <c r="R190" s="1">
        <v>45961</v>
      </c>
      <c r="S190">
        <v>0.65449999999999997</v>
      </c>
      <c r="U190" s="1">
        <f t="shared" si="23"/>
        <v>45961</v>
      </c>
      <c r="V190" s="1">
        <v>45961</v>
      </c>
      <c r="W190">
        <v>6840.2</v>
      </c>
    </row>
    <row r="191" spans="1:35" x14ac:dyDescent="0.25">
      <c r="A191" s="1">
        <f t="shared" si="18"/>
        <v>45991</v>
      </c>
      <c r="B191" s="1">
        <v>45989</v>
      </c>
      <c r="C191">
        <v>184.89099999999999</v>
      </c>
      <c r="I191" s="1">
        <f t="shared" si="20"/>
        <v>45991</v>
      </c>
      <c r="J191" s="1">
        <v>45989</v>
      </c>
      <c r="K191">
        <v>518.54999999999995</v>
      </c>
      <c r="M191" s="1">
        <f t="shared" si="21"/>
        <v>45991</v>
      </c>
      <c r="N191" s="1">
        <v>45989</v>
      </c>
      <c r="O191">
        <v>2868</v>
      </c>
      <c r="Q191" s="1">
        <f t="shared" si="22"/>
        <v>45991</v>
      </c>
      <c r="R191" s="1">
        <v>45989</v>
      </c>
      <c r="S191">
        <v>0.65500000000000003</v>
      </c>
      <c r="U191" s="1">
        <f t="shared" si="23"/>
        <v>45991</v>
      </c>
      <c r="V191" s="1">
        <v>45989</v>
      </c>
      <c r="W191">
        <v>6849.09</v>
      </c>
    </row>
    <row r="192" spans="1:35" x14ac:dyDescent="0.25">
      <c r="A192" s="1">
        <f t="shared" si="18"/>
        <v>46022</v>
      </c>
      <c r="B192" s="1">
        <v>46022</v>
      </c>
      <c r="C192">
        <v>205.65430000000001</v>
      </c>
      <c r="I192" s="1">
        <f t="shared" si="20"/>
        <v>46022</v>
      </c>
      <c r="J192" s="1">
        <v>46022</v>
      </c>
      <c r="K192">
        <v>568.20000000000005</v>
      </c>
      <c r="M192" s="1">
        <f t="shared" si="21"/>
        <v>46022</v>
      </c>
      <c r="N192" s="1">
        <v>46022</v>
      </c>
      <c r="O192">
        <v>2995.5</v>
      </c>
      <c r="Q192" s="1">
        <f t="shared" si="22"/>
        <v>46022</v>
      </c>
      <c r="R192" s="1">
        <v>46022</v>
      </c>
      <c r="S192">
        <v>0.6673</v>
      </c>
      <c r="U192" s="1">
        <f t="shared" si="23"/>
        <v>46022</v>
      </c>
      <c r="V192" s="1">
        <v>46022</v>
      </c>
      <c r="W192">
        <v>6845.5</v>
      </c>
    </row>
    <row r="193" spans="1:23" x14ac:dyDescent="0.25">
      <c r="A193" s="1">
        <f t="shared" si="18"/>
        <v>46053</v>
      </c>
      <c r="B193" s="1">
        <v>46052</v>
      </c>
      <c r="C193">
        <v>233.9212</v>
      </c>
      <c r="I193" s="1">
        <f t="shared" si="20"/>
        <v>46053</v>
      </c>
      <c r="J193" s="1">
        <v>46052</v>
      </c>
      <c r="K193">
        <v>592.4</v>
      </c>
      <c r="M193" s="1">
        <f t="shared" si="21"/>
        <v>46053</v>
      </c>
      <c r="N193" s="1">
        <v>46052</v>
      </c>
      <c r="O193">
        <v>3144</v>
      </c>
      <c r="Q193" s="1">
        <f t="shared" si="22"/>
        <v>46053</v>
      </c>
      <c r="R193" s="1">
        <v>46052</v>
      </c>
      <c r="S193">
        <v>0.69640000000000002</v>
      </c>
      <c r="U193" s="1">
        <f t="shared" si="23"/>
        <v>46053</v>
      </c>
      <c r="V193" s="1">
        <v>46052</v>
      </c>
      <c r="W193">
        <v>6939.03</v>
      </c>
    </row>
    <row r="194" spans="1:23" x14ac:dyDescent="0.25">
      <c r="A194" s="1">
        <f t="shared" si="18"/>
        <v>46081</v>
      </c>
      <c r="B194" s="1">
        <v>46080</v>
      </c>
      <c r="C194">
        <v>255.27549999999999</v>
      </c>
      <c r="I194" s="1">
        <f t="shared" si="20"/>
        <v>46081</v>
      </c>
      <c r="J194" s="1">
        <v>46080</v>
      </c>
      <c r="K194">
        <v>600.45000000000005</v>
      </c>
      <c r="M194" s="1">
        <f t="shared" si="21"/>
        <v>46081</v>
      </c>
      <c r="N194" s="1">
        <v>46080</v>
      </c>
      <c r="O194">
        <v>3140</v>
      </c>
      <c r="Q194" s="1">
        <f t="shared" si="22"/>
        <v>46081</v>
      </c>
      <c r="R194" s="1">
        <v>46080</v>
      </c>
      <c r="S194">
        <v>0.71179999999999999</v>
      </c>
      <c r="U194" s="1">
        <f t="shared" si="23"/>
        <v>46081</v>
      </c>
      <c r="V194" s="1">
        <v>46080</v>
      </c>
      <c r="W194">
        <v>6878.88</v>
      </c>
    </row>
    <row r="195" spans="1:23" x14ac:dyDescent="0.25">
      <c r="B195" s="1"/>
    </row>
    <row r="196" spans="1:23" x14ac:dyDescent="0.25">
      <c r="B196" s="1"/>
    </row>
    <row r="197" spans="1:23" x14ac:dyDescent="0.25">
      <c r="B197" s="1"/>
    </row>
    <row r="198" spans="1:23" x14ac:dyDescent="0.25">
      <c r="B198" s="1"/>
    </row>
    <row r="199" spans="1:23" x14ac:dyDescent="0.25">
      <c r="B199" s="1"/>
    </row>
    <row r="200" spans="1:23" x14ac:dyDescent="0.25">
      <c r="B200" s="1"/>
    </row>
    <row r="201" spans="1:23" x14ac:dyDescent="0.25">
      <c r="B201" s="1"/>
    </row>
    <row r="202" spans="1:23" x14ac:dyDescent="0.25">
      <c r="B202" s="1"/>
    </row>
    <row r="203" spans="1:23" x14ac:dyDescent="0.25">
      <c r="B203" s="1"/>
    </row>
    <row r="204" spans="1:23" x14ac:dyDescent="0.25">
      <c r="B204" s="1"/>
    </row>
    <row r="205" spans="1:23" x14ac:dyDescent="0.25">
      <c r="B205" s="1"/>
    </row>
    <row r="206" spans="1:23" x14ac:dyDescent="0.25">
      <c r="B206" s="1"/>
    </row>
    <row r="207" spans="1:23" x14ac:dyDescent="0.25">
      <c r="B207" s="1"/>
    </row>
    <row r="208" spans="1:23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</sheetData>
  <mergeCells count="9">
    <mergeCell ref="Z2:AA2"/>
    <mergeCell ref="AD2:AE2"/>
    <mergeCell ref="AH2:AI2"/>
    <mergeCell ref="B2:C2"/>
    <mergeCell ref="F2:G2"/>
    <mergeCell ref="J2:K2"/>
    <mergeCell ref="N2:O2"/>
    <mergeCell ref="R2:S2"/>
    <mergeCell ref="V2:W2"/>
  </mergeCells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3ACE-9176-4605-A508-86FAA8F58E90}">
  <dimension ref="B2:I194"/>
  <sheetViews>
    <sheetView showGridLines="0" workbookViewId="0">
      <selection activeCell="R21" sqref="R21:R22"/>
    </sheetView>
  </sheetViews>
  <sheetFormatPr defaultRowHeight="15" x14ac:dyDescent="0.25"/>
  <cols>
    <col min="2" max="2" width="11" bestFit="1" customWidth="1"/>
    <col min="3" max="5" width="8.5703125" bestFit="1" customWidth="1"/>
    <col min="6" max="6" width="10.28515625" bestFit="1" customWidth="1"/>
    <col min="7" max="7" width="8.85546875" bestFit="1" customWidth="1"/>
    <col min="8" max="8" width="9.5703125" bestFit="1" customWidth="1"/>
    <col min="9" max="9" width="7.5703125" bestFit="1" customWidth="1"/>
  </cols>
  <sheetData>
    <row r="2" spans="2:9" x14ac:dyDescent="0.25">
      <c r="B2" s="4" t="s">
        <v>15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16</v>
      </c>
    </row>
    <row r="3" spans="2:9" x14ac:dyDescent="0.25">
      <c r="B3" s="1">
        <v>40268</v>
      </c>
      <c r="C3" s="3">
        <f>_xlfn.XLOOKUP($B3,'Raw Data'!$A3:$A194,'Raw Data'!$C3:$C194,0)</f>
        <v>59.182499999999997</v>
      </c>
      <c r="D3" s="3"/>
      <c r="E3" s="3">
        <f>_xlfn.XLOOKUP($B3,'Raw Data'!$I3:$I194,'Raw Data'!$K3:$K194,"")</f>
        <v>355.35</v>
      </c>
      <c r="F3" s="3">
        <f>_xlfn.XLOOKUP($B3,'Raw Data'!$M3:$M194,'Raw Data'!$O3:$O194,"")</f>
        <v>2323</v>
      </c>
      <c r="G3" s="3">
        <f>_xlfn.XLOOKUP($B3,'Raw Data'!$Q3:$Q194,'Raw Data'!$S3:$S194,"")</f>
        <v>0.91720000000000002</v>
      </c>
      <c r="H3" s="3">
        <f>_xlfn.XLOOKUP($B3,'Raw Data'!$U3:$U194,'Raw Data'!$W3:$W194,"")</f>
        <v>1169.43</v>
      </c>
      <c r="I3" s="3"/>
    </row>
    <row r="4" spans="2:9" x14ac:dyDescent="0.25">
      <c r="B4" s="1">
        <v>40298</v>
      </c>
      <c r="C4" s="3">
        <f>_xlfn.XLOOKUP($B4,'Raw Data'!$A4:$A195,'Raw Data'!$C4:$C195,0)</f>
        <v>50.86</v>
      </c>
      <c r="D4" s="3"/>
      <c r="E4" s="3">
        <f>_xlfn.XLOOKUP($B4,'Raw Data'!$I4:$I195,'Raw Data'!$K4:$K195,"")</f>
        <v>333.75</v>
      </c>
      <c r="F4" s="3">
        <f>_xlfn.XLOOKUP($B4,'Raw Data'!$M4:$M195,'Raw Data'!$O4:$O195,"")</f>
        <v>2255</v>
      </c>
      <c r="G4" s="3">
        <f>_xlfn.XLOOKUP($B4,'Raw Data'!$Q4:$Q195,'Raw Data'!$S4:$S195,"")</f>
        <v>0.92430000000000001</v>
      </c>
      <c r="H4" s="3">
        <f>_xlfn.XLOOKUP($B4,'Raw Data'!$U4:$U195,'Raw Data'!$W4:$W195,"")</f>
        <v>1186.69</v>
      </c>
      <c r="I4" s="3"/>
    </row>
    <row r="5" spans="2:9" x14ac:dyDescent="0.25">
      <c r="B5" s="1">
        <v>40329</v>
      </c>
      <c r="C5" s="3">
        <f>_xlfn.XLOOKUP($B5,'Raw Data'!$A5:$A196,'Raw Data'!$C5:$C196,0)</f>
        <v>46.1</v>
      </c>
      <c r="D5" s="3"/>
      <c r="E5" s="3">
        <f>_xlfn.XLOOKUP($B5,'Raw Data'!$I5:$I196,'Raw Data'!$K5:$K196,"")</f>
        <v>310.45</v>
      </c>
      <c r="F5" s="3">
        <f>_xlfn.XLOOKUP($B5,'Raw Data'!$M5:$M196,'Raw Data'!$O5:$O196,"")</f>
        <v>2043</v>
      </c>
      <c r="G5" s="3">
        <f>_xlfn.XLOOKUP($B5,'Raw Data'!$Q5:$Q196,'Raw Data'!$S5:$S196,"")</f>
        <v>0.84589999999999999</v>
      </c>
      <c r="H5" s="3">
        <f>_xlfn.XLOOKUP($B5,'Raw Data'!$U5:$U196,'Raw Data'!$W5:$W196,"")</f>
        <v>1089.4100000000001</v>
      </c>
      <c r="I5" s="3"/>
    </row>
    <row r="6" spans="2:9" x14ac:dyDescent="0.25">
      <c r="B6" s="1">
        <v>40359</v>
      </c>
      <c r="C6" s="3">
        <f>_xlfn.XLOOKUP($B6,'Raw Data'!$A6:$A197,'Raw Data'!$C6:$C197,0)</f>
        <v>43.6</v>
      </c>
      <c r="D6" s="3"/>
      <c r="E6" s="3">
        <f>_xlfn.XLOOKUP($B6,'Raw Data'!$I6:$I197,'Raw Data'!$K6:$K197,"")</f>
        <v>293.60000000000002</v>
      </c>
      <c r="F6" s="3">
        <f>_xlfn.XLOOKUP($B6,'Raw Data'!$M6:$M197,'Raw Data'!$O6:$O197,"")</f>
        <v>1977.5</v>
      </c>
      <c r="G6" s="3">
        <f>_xlfn.XLOOKUP($B6,'Raw Data'!$Q6:$Q197,'Raw Data'!$S6:$S197,"")</f>
        <v>0.84079999999999999</v>
      </c>
      <c r="H6" s="3">
        <f>_xlfn.XLOOKUP($B6,'Raw Data'!$U6:$U197,'Raw Data'!$W6:$W197,"")</f>
        <v>1030.71</v>
      </c>
      <c r="I6" s="3"/>
    </row>
    <row r="7" spans="2:9" x14ac:dyDescent="0.25">
      <c r="B7" s="1">
        <v>40390</v>
      </c>
      <c r="C7" s="3">
        <f>_xlfn.XLOOKUP($B7,'Raw Data'!$A7:$A198,'Raw Data'!$C7:$C198,0)</f>
        <v>51.92</v>
      </c>
      <c r="D7" s="3"/>
      <c r="E7" s="3">
        <f>_xlfn.XLOOKUP($B7,'Raw Data'!$I7:$I198,'Raw Data'!$K7:$K198,"")</f>
        <v>331.15</v>
      </c>
      <c r="F7" s="3">
        <f>_xlfn.XLOOKUP($B7,'Raw Data'!$M7:$M198,'Raw Data'!$O7:$O198,"")</f>
        <v>2175</v>
      </c>
      <c r="G7" s="3">
        <f>_xlfn.XLOOKUP($B7,'Raw Data'!$Q7:$Q198,'Raw Data'!$S7:$S198,"")</f>
        <v>0.9042</v>
      </c>
      <c r="H7" s="3">
        <f>_xlfn.XLOOKUP($B7,'Raw Data'!$U7:$U198,'Raw Data'!$W7:$W198,"")</f>
        <v>1101.5999999999999</v>
      </c>
      <c r="I7" s="3"/>
    </row>
    <row r="8" spans="2:9" x14ac:dyDescent="0.25">
      <c r="B8" s="1">
        <v>40421</v>
      </c>
      <c r="C8" s="3">
        <f>_xlfn.XLOOKUP($B8,'Raw Data'!$A8:$A199,'Raw Data'!$C8:$C199,0)</f>
        <v>50.860599999999998</v>
      </c>
      <c r="D8" s="3"/>
      <c r="E8" s="3">
        <f>_xlfn.XLOOKUP($B8,'Raw Data'!$I8:$I199,'Raw Data'!$K8:$K199,"")</f>
        <v>336.1</v>
      </c>
      <c r="F8" s="3">
        <f>_xlfn.XLOOKUP($B8,'Raw Data'!$M8:$M199,'Raw Data'!$O8:$O199,"")</f>
        <v>2058</v>
      </c>
      <c r="G8" s="3">
        <f>_xlfn.XLOOKUP($B8,'Raw Data'!$Q8:$Q199,'Raw Data'!$S8:$S199,"")</f>
        <v>0.89059999999999995</v>
      </c>
      <c r="H8" s="3">
        <f>_xlfn.XLOOKUP($B8,'Raw Data'!$U8:$U199,'Raw Data'!$W8:$W199,"")</f>
        <v>1049.33</v>
      </c>
      <c r="I8" s="3"/>
    </row>
    <row r="9" spans="2:9" x14ac:dyDescent="0.25">
      <c r="B9" s="1">
        <v>40451</v>
      </c>
      <c r="C9" s="3">
        <f>_xlfn.XLOOKUP($B9,'Raw Data'!$A9:$A200,'Raw Data'!$C9:$C200,0)</f>
        <v>59.231400000000001</v>
      </c>
      <c r="D9" s="3"/>
      <c r="E9" s="3">
        <f>_xlfn.XLOOKUP($B9,'Raw Data'!$I9:$I200,'Raw Data'!$K9:$K200,"")</f>
        <v>365.15</v>
      </c>
      <c r="F9" s="3">
        <f>_xlfn.XLOOKUP($B9,'Raw Data'!$M9:$M200,'Raw Data'!$O9:$O200,"")</f>
        <v>2351</v>
      </c>
      <c r="G9" s="3">
        <f>_xlfn.XLOOKUP($B9,'Raw Data'!$Q9:$Q200,'Raw Data'!$S9:$S200,"")</f>
        <v>0.96709999999999996</v>
      </c>
      <c r="H9" s="3">
        <f>_xlfn.XLOOKUP($B9,'Raw Data'!$U9:$U200,'Raw Data'!$W9:$W200,"")</f>
        <v>1141.2</v>
      </c>
      <c r="I9" s="3"/>
    </row>
    <row r="10" spans="2:9" x14ac:dyDescent="0.25">
      <c r="B10" s="1">
        <v>40482</v>
      </c>
      <c r="C10" s="3">
        <f>_xlfn.XLOOKUP($B10,'Raw Data'!$A10:$A201,'Raw Data'!$C10:$C201,0)</f>
        <v>65.676000000000002</v>
      </c>
      <c r="D10" s="3"/>
      <c r="E10" s="3">
        <f>_xlfn.XLOOKUP($B10,'Raw Data'!$I10:$I201,'Raw Data'!$K10:$K201,"")</f>
        <v>373.35</v>
      </c>
      <c r="F10" s="3">
        <f>_xlfn.XLOOKUP($B10,'Raw Data'!$M10:$M201,'Raw Data'!$O10:$O201,"")</f>
        <v>2344</v>
      </c>
      <c r="G10" s="3">
        <f>_xlfn.XLOOKUP($B10,'Raw Data'!$Q10:$Q201,'Raw Data'!$S10:$S201,"")</f>
        <v>0.98350000000000004</v>
      </c>
      <c r="H10" s="3">
        <f>_xlfn.XLOOKUP($B10,'Raw Data'!$U10:$U201,'Raw Data'!$W10:$W201,"")</f>
        <v>1183.26</v>
      </c>
      <c r="I10" s="3"/>
    </row>
    <row r="11" spans="2:9" x14ac:dyDescent="0.25">
      <c r="B11" s="1">
        <v>40512</v>
      </c>
      <c r="C11" s="3">
        <f>_xlfn.XLOOKUP($B11,'Raw Data'!$A11:$A202,'Raw Data'!$C11:$C202,0)</f>
        <v>64.677499999999995</v>
      </c>
      <c r="D11" s="3"/>
      <c r="E11" s="3">
        <f>_xlfn.XLOOKUP($B11,'Raw Data'!$I11:$I202,'Raw Data'!$K11:$K202,"")</f>
        <v>382.3</v>
      </c>
      <c r="F11" s="3">
        <f>_xlfn.XLOOKUP($B11,'Raw Data'!$M11:$M202,'Raw Data'!$O11:$O202,"")</f>
        <v>2275</v>
      </c>
      <c r="G11" s="3">
        <f>_xlfn.XLOOKUP($B11,'Raw Data'!$Q11:$Q202,'Raw Data'!$S11:$S202,"")</f>
        <v>0.95879999999999999</v>
      </c>
      <c r="H11" s="3">
        <f>_xlfn.XLOOKUP($B11,'Raw Data'!$U11:$U202,'Raw Data'!$W11:$W202,"")</f>
        <v>1180.55</v>
      </c>
      <c r="I11" s="3"/>
    </row>
    <row r="12" spans="2:9" x14ac:dyDescent="0.25">
      <c r="B12" s="1">
        <v>40543</v>
      </c>
      <c r="C12" s="3">
        <f>_xlfn.XLOOKUP($B12,'Raw Data'!$A12:$A203,'Raw Data'!$C12:$C203,0)</f>
        <v>72.271799999999999</v>
      </c>
      <c r="D12" s="3"/>
      <c r="E12" s="3">
        <f>_xlfn.XLOOKUP($B12,'Raw Data'!$I12:$I203,'Raw Data'!$K12:$K203,"")</f>
        <v>444.7</v>
      </c>
      <c r="F12" s="3">
        <f>_xlfn.XLOOKUP($B12,'Raw Data'!$M12:$M203,'Raw Data'!$O12:$O203,"")</f>
        <v>2470</v>
      </c>
      <c r="G12" s="3">
        <f>_xlfn.XLOOKUP($B12,'Raw Data'!$Q12:$Q203,'Raw Data'!$S12:$S203,"")</f>
        <v>1.0233000000000001</v>
      </c>
      <c r="H12" s="3">
        <f>_xlfn.XLOOKUP($B12,'Raw Data'!$U12:$U203,'Raw Data'!$W12:$W203,"")</f>
        <v>1257.6400000000001</v>
      </c>
      <c r="I12" s="3"/>
    </row>
    <row r="13" spans="2:9" x14ac:dyDescent="0.25">
      <c r="B13" s="1">
        <v>40574</v>
      </c>
      <c r="C13" s="3">
        <f>_xlfn.XLOOKUP($B13,'Raw Data'!$A13:$A204,'Raw Data'!$C13:$C204,0)</f>
        <v>70.0732</v>
      </c>
      <c r="D13" s="3"/>
      <c r="E13" s="3">
        <f>_xlfn.XLOOKUP($B13,'Raw Data'!$I13:$I204,'Raw Data'!$K13:$K204,"")</f>
        <v>445.85</v>
      </c>
      <c r="F13" s="3">
        <f>_xlfn.XLOOKUP($B13,'Raw Data'!$M13:$M204,'Raw Data'!$O13:$O204,"")</f>
        <v>2520</v>
      </c>
      <c r="G13" s="3">
        <f>_xlfn.XLOOKUP($B13,'Raw Data'!$Q13:$Q204,'Raw Data'!$S13:$S204,"")</f>
        <v>0.99739999999999995</v>
      </c>
      <c r="H13" s="3">
        <f>_xlfn.XLOOKUP($B13,'Raw Data'!$U13:$U204,'Raw Data'!$W13:$W204,"")</f>
        <v>1286.1199999999999</v>
      </c>
      <c r="I13" s="3"/>
    </row>
    <row r="14" spans="2:9" x14ac:dyDescent="0.25">
      <c r="B14" s="1">
        <v>40602</v>
      </c>
      <c r="C14" s="3">
        <f>_xlfn.XLOOKUP($B14,'Raw Data'!$A14:$A205,'Raw Data'!$C14:$C205,0)</f>
        <v>71.686899999999994</v>
      </c>
      <c r="D14" s="3"/>
      <c r="E14" s="3">
        <f>_xlfn.XLOOKUP($B14,'Raw Data'!$I14:$I205,'Raw Data'!$K14:$K205,"")</f>
        <v>447.8</v>
      </c>
      <c r="F14" s="3">
        <f>_xlfn.XLOOKUP($B14,'Raw Data'!$M14:$M205,'Raw Data'!$O14:$O205,"")</f>
        <v>2600</v>
      </c>
      <c r="G14" s="3">
        <f>_xlfn.XLOOKUP($B14,'Raw Data'!$Q14:$Q205,'Raw Data'!$S14:$S205,"")</f>
        <v>1.0185999999999999</v>
      </c>
      <c r="H14" s="3">
        <f>_xlfn.XLOOKUP($B14,'Raw Data'!$U14:$U205,'Raw Data'!$W14:$W205,"")</f>
        <v>1327.22</v>
      </c>
      <c r="I14" s="3"/>
    </row>
    <row r="15" spans="2:9" x14ac:dyDescent="0.25">
      <c r="B15" s="1">
        <v>40633</v>
      </c>
      <c r="C15" s="3">
        <f>_xlfn.XLOOKUP($B15,'Raw Data'!$A15:$A206,'Raw Data'!$C15:$C206,0)</f>
        <v>72.375600000000006</v>
      </c>
      <c r="D15" s="3"/>
      <c r="E15" s="3">
        <f>_xlfn.XLOOKUP($B15,'Raw Data'!$I15:$I206,'Raw Data'!$K15:$K206,"")</f>
        <v>430.75</v>
      </c>
      <c r="F15" s="3">
        <f>_xlfn.XLOOKUP($B15,'Raw Data'!$M15:$M206,'Raw Data'!$O15:$O206,"")</f>
        <v>2648</v>
      </c>
      <c r="G15" s="3">
        <f>_xlfn.XLOOKUP($B15,'Raw Data'!$Q15:$Q206,'Raw Data'!$S15:$S206,"")</f>
        <v>1.0328999999999999</v>
      </c>
      <c r="H15" s="3">
        <f>_xlfn.XLOOKUP($B15,'Raw Data'!$U15:$U206,'Raw Data'!$W15:$W206,"")</f>
        <v>1325.83</v>
      </c>
      <c r="I15" s="3">
        <f>_xlfn.XLOOKUP($B15,'Raw Data'!$AG3:$AG182,'Raw Data'!$AI3:$AI182,"")</f>
        <v>58.4</v>
      </c>
    </row>
    <row r="16" spans="2:9" x14ac:dyDescent="0.25">
      <c r="B16" s="1">
        <v>40663</v>
      </c>
      <c r="C16" s="3">
        <f>_xlfn.XLOOKUP($B16,'Raw Data'!$A16:$A207,'Raw Data'!$C16:$C207,0)</f>
        <v>74.502499999999998</v>
      </c>
      <c r="D16" s="3"/>
      <c r="E16" s="3">
        <f>_xlfn.XLOOKUP($B16,'Raw Data'!$I16:$I207,'Raw Data'!$K16:$K207,"")</f>
        <v>416.55</v>
      </c>
      <c r="F16" s="3">
        <f>_xlfn.XLOOKUP($B16,'Raw Data'!$M16:$M207,'Raw Data'!$O16:$O207,"")</f>
        <v>2767.5</v>
      </c>
      <c r="G16" s="3">
        <f>_xlfn.XLOOKUP($B16,'Raw Data'!$Q16:$Q207,'Raw Data'!$S16:$S207,"")</f>
        <v>1.0971</v>
      </c>
      <c r="H16" s="3">
        <f>_xlfn.XLOOKUP($B16,'Raw Data'!$U16:$U207,'Raw Data'!$W16:$W207,"")</f>
        <v>1363.61</v>
      </c>
      <c r="I16" s="3">
        <f>_xlfn.XLOOKUP($B16,'Raw Data'!$AG4:$AG183,'Raw Data'!$AI4:$AI183,"")</f>
        <v>57.9</v>
      </c>
    </row>
    <row r="17" spans="2:9" x14ac:dyDescent="0.25">
      <c r="B17" s="1">
        <v>40694</v>
      </c>
      <c r="C17" s="3">
        <f>_xlfn.XLOOKUP($B17,'Raw Data'!$A17:$A208,'Raw Data'!$C17:$C208,0)</f>
        <v>71.358000000000004</v>
      </c>
      <c r="D17" s="3"/>
      <c r="E17" s="3">
        <f>_xlfn.XLOOKUP($B17,'Raw Data'!$I17:$I208,'Raw Data'!$K17:$K208,"")</f>
        <v>417.75</v>
      </c>
      <c r="F17" s="3">
        <f>_xlfn.XLOOKUP($B17,'Raw Data'!$M17:$M208,'Raw Data'!$O17:$O208,"")</f>
        <v>2675</v>
      </c>
      <c r="G17" s="3">
        <f>_xlfn.XLOOKUP($B17,'Raw Data'!$Q17:$Q208,'Raw Data'!$S17:$S208,"")</f>
        <v>1.0671999999999999</v>
      </c>
      <c r="H17" s="3">
        <f>_xlfn.XLOOKUP($B17,'Raw Data'!$U17:$U208,'Raw Data'!$W17:$W208,"")</f>
        <v>1345.2</v>
      </c>
      <c r="I17" s="3">
        <f>_xlfn.XLOOKUP($B17,'Raw Data'!$AG5:$AG184,'Raw Data'!$AI5:$AI184,"")</f>
        <v>54.8</v>
      </c>
    </row>
    <row r="18" spans="2:9" x14ac:dyDescent="0.25">
      <c r="B18" s="1">
        <v>40724</v>
      </c>
      <c r="C18" s="3">
        <f>_xlfn.XLOOKUP($B18,'Raw Data'!$A18:$A209,'Raw Data'!$C18:$C209,0)</f>
        <v>73.596800000000002</v>
      </c>
      <c r="D18" s="3"/>
      <c r="E18" s="3">
        <f>_xlfn.XLOOKUP($B18,'Raw Data'!$I18:$I209,'Raw Data'!$K18:$K209,"")</f>
        <v>427.2</v>
      </c>
      <c r="F18" s="3">
        <f>_xlfn.XLOOKUP($B18,'Raw Data'!$M18:$M209,'Raw Data'!$O18:$O209,"")</f>
        <v>2532</v>
      </c>
      <c r="G18" s="3">
        <f>_xlfn.XLOOKUP($B18,'Raw Data'!$Q18:$Q209,'Raw Data'!$S18:$S209,"")</f>
        <v>1.0722</v>
      </c>
      <c r="H18" s="3">
        <f>_xlfn.XLOOKUP($B18,'Raw Data'!$U18:$U209,'Raw Data'!$W18:$W209,"")</f>
        <v>1320.64</v>
      </c>
      <c r="I18" s="3">
        <f>_xlfn.XLOOKUP($B18,'Raw Data'!$AG6:$AG185,'Raw Data'!$AI6:$AI185,"")</f>
        <v>55.8</v>
      </c>
    </row>
    <row r="19" spans="2:9" x14ac:dyDescent="0.25">
      <c r="B19" s="1">
        <v>40755</v>
      </c>
      <c r="C19" s="3">
        <f>_xlfn.XLOOKUP($B19,'Raw Data'!$A19:$A210,'Raw Data'!$C19:$C210,0)</f>
        <v>72.233199999999997</v>
      </c>
      <c r="D19" s="3"/>
      <c r="E19" s="3">
        <f>_xlfn.XLOOKUP($B19,'Raw Data'!$I19:$I210,'Raw Data'!$K19:$K210,"")</f>
        <v>447.95</v>
      </c>
      <c r="F19" s="3">
        <f>_xlfn.XLOOKUP($B19,'Raw Data'!$M19:$M210,'Raw Data'!$O19:$O210,"")</f>
        <v>2624</v>
      </c>
      <c r="G19" s="3">
        <f>_xlfn.XLOOKUP($B19,'Raw Data'!$Q19:$Q210,'Raw Data'!$S19:$S210,"")</f>
        <v>1.0992999999999999</v>
      </c>
      <c r="H19" s="3">
        <f>_xlfn.XLOOKUP($B19,'Raw Data'!$U19:$U210,'Raw Data'!$W19:$W210,"")</f>
        <v>1292.28</v>
      </c>
      <c r="I19" s="3">
        <f>_xlfn.XLOOKUP($B19,'Raw Data'!$AG7:$AG186,'Raw Data'!$AI7:$AI186,"")</f>
        <v>52.9</v>
      </c>
    </row>
    <row r="20" spans="2:9" x14ac:dyDescent="0.25">
      <c r="B20" s="1">
        <v>40786</v>
      </c>
      <c r="C20" s="3">
        <f>_xlfn.XLOOKUP($B20,'Raw Data'!$A20:$A211,'Raw Data'!$C20:$C211,0)</f>
        <v>62.843499999999999</v>
      </c>
      <c r="D20" s="3"/>
      <c r="E20" s="3">
        <f>_xlfn.XLOOKUP($B20,'Raw Data'!$I20:$I211,'Raw Data'!$K20:$K211,"")</f>
        <v>418.7</v>
      </c>
      <c r="F20" s="3">
        <f>_xlfn.XLOOKUP($B20,'Raw Data'!$M20:$M211,'Raw Data'!$O20:$O211,"")</f>
        <v>2469</v>
      </c>
      <c r="G20" s="3">
        <f>_xlfn.XLOOKUP($B20,'Raw Data'!$Q20:$Q211,'Raw Data'!$S20:$S211,"")</f>
        <v>1.0707</v>
      </c>
      <c r="H20" s="3">
        <f>_xlfn.XLOOKUP($B20,'Raw Data'!$U20:$U211,'Raw Data'!$W20:$W211,"")</f>
        <v>1218.8900000000001</v>
      </c>
      <c r="I20" s="3">
        <f>_xlfn.XLOOKUP($B20,'Raw Data'!$AG8:$AG187,'Raw Data'!$AI8:$AI187,"")</f>
        <v>52.6</v>
      </c>
    </row>
    <row r="21" spans="2:9" x14ac:dyDescent="0.25">
      <c r="B21" s="1">
        <v>40816</v>
      </c>
      <c r="C21" s="3">
        <f>_xlfn.XLOOKUP($B21,'Raw Data'!$A21:$A212,'Raw Data'!$C21:$C212,0)</f>
        <v>45.293399999999998</v>
      </c>
      <c r="D21" s="3"/>
      <c r="E21" s="3">
        <f>_xlfn.XLOOKUP($B21,'Raw Data'!$I21:$I212,'Raw Data'!$K21:$K212,"")</f>
        <v>315.2</v>
      </c>
      <c r="F21" s="3">
        <f>_xlfn.XLOOKUP($B21,'Raw Data'!$M21:$M212,'Raw Data'!$O21:$O212,"")</f>
        <v>2157</v>
      </c>
      <c r="G21" s="3">
        <f>_xlfn.XLOOKUP($B21,'Raw Data'!$Q21:$Q212,'Raw Data'!$S21:$S212,"")</f>
        <v>0.96619999999999995</v>
      </c>
      <c r="H21" s="3">
        <f>_xlfn.XLOOKUP($B21,'Raw Data'!$U21:$U212,'Raw Data'!$W21:$W212,"")</f>
        <v>1131.42</v>
      </c>
      <c r="I21" s="3">
        <f>_xlfn.XLOOKUP($B21,'Raw Data'!$AG9:$AG188,'Raw Data'!$AI9:$AI188,"")</f>
        <v>53.7</v>
      </c>
    </row>
    <row r="22" spans="2:9" x14ac:dyDescent="0.25">
      <c r="B22" s="1">
        <v>40847</v>
      </c>
      <c r="C22" s="3">
        <f>_xlfn.XLOOKUP($B22,'Raw Data'!$A22:$A213,'Raw Data'!$C22:$C213,0)</f>
        <v>55.548099999999998</v>
      </c>
      <c r="D22" s="3"/>
      <c r="E22" s="3">
        <f>_xlfn.XLOOKUP($B22,'Raw Data'!$I22:$I213,'Raw Data'!$K22:$K213,"")</f>
        <v>363.2</v>
      </c>
      <c r="F22" s="3">
        <f>_xlfn.XLOOKUP($B22,'Raw Data'!$M22:$M213,'Raw Data'!$O22:$O213,"")</f>
        <v>2218</v>
      </c>
      <c r="G22" s="3">
        <f>_xlfn.XLOOKUP($B22,'Raw Data'!$Q22:$Q213,'Raw Data'!$S22:$S213,"")</f>
        <v>1.0529999999999999</v>
      </c>
      <c r="H22" s="3">
        <f>_xlfn.XLOOKUP($B22,'Raw Data'!$U22:$U213,'Raw Data'!$W22:$W213,"")</f>
        <v>1253.3</v>
      </c>
      <c r="I22" s="3">
        <f>_xlfn.XLOOKUP($B22,'Raw Data'!$AG10:$AG189,'Raw Data'!$AI10:$AI189,"")</f>
        <v>51.4</v>
      </c>
    </row>
    <row r="23" spans="2:9" x14ac:dyDescent="0.25">
      <c r="B23" s="1">
        <v>40877</v>
      </c>
      <c r="C23" s="3">
        <f>_xlfn.XLOOKUP($B23,'Raw Data'!$A23:$A214,'Raw Data'!$C23:$C214,0)</f>
        <v>54.530799999999999</v>
      </c>
      <c r="D23" s="3"/>
      <c r="E23" s="3">
        <f>_xlfn.XLOOKUP($B23,'Raw Data'!$I23:$I214,'Raw Data'!$K23:$K214,"")</f>
        <v>356.3</v>
      </c>
      <c r="F23" s="3">
        <f>_xlfn.XLOOKUP($B23,'Raw Data'!$M23:$M214,'Raw Data'!$O23:$O214,"")</f>
        <v>2110</v>
      </c>
      <c r="G23" s="3">
        <f>_xlfn.XLOOKUP($B23,'Raw Data'!$Q23:$Q214,'Raw Data'!$S23:$S214,"")</f>
        <v>1.0283</v>
      </c>
      <c r="H23" s="3">
        <f>_xlfn.XLOOKUP($B23,'Raw Data'!$U23:$U214,'Raw Data'!$W23:$W214,"")</f>
        <v>1246.96</v>
      </c>
      <c r="I23" s="3">
        <f>_xlfn.XLOOKUP($B23,'Raw Data'!$AG11:$AG190,'Raw Data'!$AI11:$AI190,"")</f>
        <v>51.8</v>
      </c>
    </row>
    <row r="24" spans="2:9" x14ac:dyDescent="0.25">
      <c r="B24" s="1">
        <v>40908</v>
      </c>
      <c r="C24" s="3">
        <f>_xlfn.XLOOKUP($B24,'Raw Data'!$A24:$A215,'Raw Data'!$C24:$C215,0)</f>
        <v>50.266599999999997</v>
      </c>
      <c r="D24" s="3">
        <f>_xlfn.XLOOKUP($B24,'Raw Data'!$E3:$E173,'Raw Data'!$G3:$G173,"")</f>
        <v>138.19999999999999</v>
      </c>
      <c r="E24" s="3">
        <f>_xlfn.XLOOKUP($B24,'Raw Data'!$I24:$I215,'Raw Data'!$K24:$K215,"")</f>
        <v>343.6</v>
      </c>
      <c r="F24" s="3">
        <f>_xlfn.XLOOKUP($B24,'Raw Data'!$M24:$M215,'Raw Data'!$O24:$O215,"")</f>
        <v>2020</v>
      </c>
      <c r="G24" s="3">
        <f>_xlfn.XLOOKUP($B24,'Raw Data'!$Q24:$Q215,'Raw Data'!$S24:$S215,"")</f>
        <v>1.0208999999999999</v>
      </c>
      <c r="H24" s="3">
        <f>_xlfn.XLOOKUP($B24,'Raw Data'!$U24:$U215,'Raw Data'!$W24:$W215,"")</f>
        <v>1257.6099999999999</v>
      </c>
      <c r="I24" s="3">
        <f>_xlfn.XLOOKUP($B24,'Raw Data'!$AG12:$AG191,'Raw Data'!$AI12:$AI191,"")</f>
        <v>53</v>
      </c>
    </row>
    <row r="25" spans="2:9" x14ac:dyDescent="0.25">
      <c r="B25" s="1">
        <v>40939</v>
      </c>
      <c r="C25" s="3">
        <f>_xlfn.XLOOKUP($B25,'Raw Data'!$A25:$A216,'Raw Data'!$C25:$C216,0)</f>
        <v>62.124200000000002</v>
      </c>
      <c r="D25" s="3">
        <f>_xlfn.XLOOKUP($B25,'Raw Data'!$E4:$E174,'Raw Data'!$G4:$G174,"")</f>
        <v>141.80000000000001</v>
      </c>
      <c r="E25" s="3">
        <f>_xlfn.XLOOKUP($B25,'Raw Data'!$I25:$I216,'Raw Data'!$K25:$K216,"")</f>
        <v>379</v>
      </c>
      <c r="F25" s="3">
        <f>_xlfn.XLOOKUP($B25,'Raw Data'!$M25:$M216,'Raw Data'!$O25:$O216,"")</f>
        <v>2238</v>
      </c>
      <c r="G25" s="3">
        <f>_xlfn.XLOOKUP($B25,'Raw Data'!$Q25:$Q216,'Raw Data'!$S25:$S216,"")</f>
        <v>1.0621</v>
      </c>
      <c r="H25" s="3">
        <f>_xlfn.XLOOKUP($B25,'Raw Data'!$U25:$U216,'Raw Data'!$W25:$W216,"")</f>
        <v>1312.41</v>
      </c>
      <c r="I25" s="3">
        <f>_xlfn.XLOOKUP($B25,'Raw Data'!$AG13:$AG192,'Raw Data'!$AI13:$AI192,"")</f>
        <v>54.2</v>
      </c>
    </row>
    <row r="26" spans="2:9" x14ac:dyDescent="0.25">
      <c r="B26" s="1">
        <v>40968</v>
      </c>
      <c r="C26" s="3">
        <f>_xlfn.XLOOKUP($B26,'Raw Data'!$A26:$A217,'Raw Data'!$C26:$C217,0)</f>
        <v>59.437899999999999</v>
      </c>
      <c r="D26" s="3">
        <f>_xlfn.XLOOKUP($B26,'Raw Data'!$E5:$E175,'Raw Data'!$G5:$G175,"")</f>
        <v>141.4</v>
      </c>
      <c r="E26" s="3">
        <f>_xlfn.XLOOKUP($B26,'Raw Data'!$I26:$I217,'Raw Data'!$K26:$K217,"")</f>
        <v>387.05</v>
      </c>
      <c r="F26" s="3">
        <f>_xlfn.XLOOKUP($B26,'Raw Data'!$M26:$M217,'Raw Data'!$O26:$O217,"")</f>
        <v>2328</v>
      </c>
      <c r="G26" s="3">
        <f>_xlfn.XLOOKUP($B26,'Raw Data'!$Q26:$Q217,'Raw Data'!$S26:$S217,"")</f>
        <v>1.0731999999999999</v>
      </c>
      <c r="H26" s="3">
        <f>_xlfn.XLOOKUP($B26,'Raw Data'!$U26:$U217,'Raw Data'!$W26:$W217,"")</f>
        <v>1365.68</v>
      </c>
      <c r="I26" s="3">
        <f>_xlfn.XLOOKUP($B26,'Raw Data'!$AG14:$AG193,'Raw Data'!$AI14:$AI193,"")</f>
        <v>53.3</v>
      </c>
    </row>
    <row r="27" spans="2:9" x14ac:dyDescent="0.25">
      <c r="B27" s="1">
        <v>40999</v>
      </c>
      <c r="C27" s="3">
        <f>_xlfn.XLOOKUP($B27,'Raw Data'!$A27:$A218,'Raw Data'!$C27:$C218,0)</f>
        <v>58.038800000000002</v>
      </c>
      <c r="D27" s="3">
        <f>_xlfn.XLOOKUP($B27,'Raw Data'!$E6:$E176,'Raw Data'!$G6:$G176,"")</f>
        <v>145.1</v>
      </c>
      <c r="E27" s="3">
        <f>_xlfn.XLOOKUP($B27,'Raw Data'!$I27:$I218,'Raw Data'!$K27:$K218,"")</f>
        <v>382.5</v>
      </c>
      <c r="F27" s="3">
        <f>_xlfn.XLOOKUP($B27,'Raw Data'!$M27:$M218,'Raw Data'!$O27:$O218,"")</f>
        <v>2126</v>
      </c>
      <c r="G27" s="3">
        <f>_xlfn.XLOOKUP($B27,'Raw Data'!$Q27:$Q218,'Raw Data'!$S27:$S218,"")</f>
        <v>1.0346</v>
      </c>
      <c r="H27" s="3">
        <f>_xlfn.XLOOKUP($B27,'Raw Data'!$U27:$U218,'Raw Data'!$W27:$W218,"")</f>
        <v>1408.47</v>
      </c>
      <c r="I27" s="3">
        <f>_xlfn.XLOOKUP($B27,'Raw Data'!$AG15:$AG194,'Raw Data'!$AI15:$AI194,"")</f>
        <v>53.5</v>
      </c>
    </row>
    <row r="28" spans="2:9" x14ac:dyDescent="0.25">
      <c r="B28" s="1">
        <v>41029</v>
      </c>
      <c r="C28" s="3">
        <f>_xlfn.XLOOKUP($B28,'Raw Data'!$A28:$A219,'Raw Data'!$C28:$C219,0)</f>
        <v>58.54</v>
      </c>
      <c r="D28" s="3">
        <f>_xlfn.XLOOKUP($B28,'Raw Data'!$E7:$E177,'Raw Data'!$G7:$G177,"")</f>
        <v>145.1</v>
      </c>
      <c r="E28" s="3">
        <f>_xlfn.XLOOKUP($B28,'Raw Data'!$I28:$I219,'Raw Data'!$K28:$K219,"")</f>
        <v>383.35</v>
      </c>
      <c r="F28" s="3">
        <f>_xlfn.XLOOKUP($B28,'Raw Data'!$M28:$M219,'Raw Data'!$O28:$O219,"")</f>
        <v>2119</v>
      </c>
      <c r="G28" s="3">
        <f>_xlfn.XLOOKUP($B28,'Raw Data'!$Q28:$Q219,'Raw Data'!$S28:$S219,"")</f>
        <v>1.0428999999999999</v>
      </c>
      <c r="H28" s="3">
        <f>_xlfn.XLOOKUP($B28,'Raw Data'!$U28:$U219,'Raw Data'!$W28:$W219,"")</f>
        <v>1397.91</v>
      </c>
      <c r="I28" s="3">
        <f>_xlfn.XLOOKUP($B28,'Raw Data'!$AG16:$AG195,'Raw Data'!$AI16:$AI195,"")</f>
        <v>55.2</v>
      </c>
    </row>
    <row r="29" spans="2:9" x14ac:dyDescent="0.25">
      <c r="B29" s="1">
        <v>41060</v>
      </c>
      <c r="C29" s="3">
        <f>_xlfn.XLOOKUP($B29,'Raw Data'!$A29:$A220,'Raw Data'!$C29:$C220,0)</f>
        <v>45.123899999999999</v>
      </c>
      <c r="D29" s="3">
        <f>_xlfn.XLOOKUP($B29,'Raw Data'!$E8:$E178,'Raw Data'!$G8:$G178,"")</f>
        <v>131.80000000000001</v>
      </c>
      <c r="E29" s="3">
        <f>_xlfn.XLOOKUP($B29,'Raw Data'!$I29:$I220,'Raw Data'!$K29:$K220,"")</f>
        <v>336.55</v>
      </c>
      <c r="F29" s="3">
        <f>_xlfn.XLOOKUP($B29,'Raw Data'!$M29:$M220,'Raw Data'!$O29:$O220,"")</f>
        <v>1994</v>
      </c>
      <c r="G29" s="3">
        <f>_xlfn.XLOOKUP($B29,'Raw Data'!$Q29:$Q220,'Raw Data'!$S29:$S220,"")</f>
        <v>0.97340000000000004</v>
      </c>
      <c r="H29" s="3">
        <f>_xlfn.XLOOKUP($B29,'Raw Data'!$U29:$U220,'Raw Data'!$W29:$W220,"")</f>
        <v>1310.33</v>
      </c>
      <c r="I29" s="3">
        <f>_xlfn.XLOOKUP($B29,'Raw Data'!$AG17:$AG196,'Raw Data'!$AI17:$AI196,"")</f>
        <v>53.2</v>
      </c>
    </row>
    <row r="30" spans="2:9" x14ac:dyDescent="0.25">
      <c r="B30" s="1">
        <v>41090</v>
      </c>
      <c r="C30" s="3">
        <f>_xlfn.XLOOKUP($B30,'Raw Data'!$A30:$A221,'Raw Data'!$C30:$C221,0)</f>
        <v>49.9161</v>
      </c>
      <c r="D30" s="3">
        <f>_xlfn.XLOOKUP($B30,'Raw Data'!$E9:$E179,'Raw Data'!$G9:$G179,"")</f>
        <v>135.1</v>
      </c>
      <c r="E30" s="3">
        <f>_xlfn.XLOOKUP($B30,'Raw Data'!$I30:$I221,'Raw Data'!$K30:$K221,"")</f>
        <v>349</v>
      </c>
      <c r="F30" s="3">
        <f>_xlfn.XLOOKUP($B30,'Raw Data'!$M30:$M221,'Raw Data'!$O30:$O221,"")</f>
        <v>1911</v>
      </c>
      <c r="G30" s="3">
        <f>_xlfn.XLOOKUP($B30,'Raw Data'!$Q30:$Q221,'Raw Data'!$S30:$S221,"")</f>
        <v>1.0238</v>
      </c>
      <c r="H30" s="3">
        <f>_xlfn.XLOOKUP($B30,'Raw Data'!$U30:$U221,'Raw Data'!$W30:$W221,"")</f>
        <v>1362.16</v>
      </c>
      <c r="I30" s="3">
        <f>_xlfn.XLOOKUP($B30,'Raw Data'!$AG18:$AG197,'Raw Data'!$AI18:$AI197,"")</f>
        <v>49.5</v>
      </c>
    </row>
    <row r="31" spans="2:9" x14ac:dyDescent="0.25">
      <c r="B31" s="1">
        <v>41121</v>
      </c>
      <c r="C31" s="3">
        <f>_xlfn.XLOOKUP($B31,'Raw Data'!$A31:$A222,'Raw Data'!$C31:$C222,0)</f>
        <v>48.245600000000003</v>
      </c>
      <c r="D31" s="3">
        <f>_xlfn.XLOOKUP($B31,'Raw Data'!$E10:$E180,'Raw Data'!$G10:$G180,"")</f>
        <v>119.2</v>
      </c>
      <c r="E31" s="3">
        <f>_xlfn.XLOOKUP($B31,'Raw Data'!$I31:$I222,'Raw Data'!$K31:$K222,"")</f>
        <v>341.75</v>
      </c>
      <c r="F31" s="3">
        <f>_xlfn.XLOOKUP($B31,'Raw Data'!$M31:$M222,'Raw Data'!$O31:$O222,"")</f>
        <v>1889</v>
      </c>
      <c r="G31" s="3">
        <f>_xlfn.XLOOKUP($B31,'Raw Data'!$Q31:$Q222,'Raw Data'!$S31:$S222,"")</f>
        <v>1.0503</v>
      </c>
      <c r="H31" s="3">
        <f>_xlfn.XLOOKUP($B31,'Raw Data'!$U31:$U222,'Raw Data'!$W31:$W222,"")</f>
        <v>1379.32</v>
      </c>
      <c r="I31" s="3">
        <f>_xlfn.XLOOKUP($B31,'Raw Data'!$AG19:$AG198,'Raw Data'!$AI19:$AI198,"")</f>
        <v>49.6</v>
      </c>
    </row>
    <row r="32" spans="2:9" x14ac:dyDescent="0.25">
      <c r="B32" s="1">
        <v>41152</v>
      </c>
      <c r="C32" s="3">
        <f>_xlfn.XLOOKUP($B32,'Raw Data'!$A32:$A223,'Raw Data'!$C32:$C223,0)</f>
        <v>46.470399999999998</v>
      </c>
      <c r="D32" s="3">
        <f>_xlfn.XLOOKUP($B32,'Raw Data'!$E11:$E181,'Raw Data'!$G11:$G181,"")</f>
        <v>89.8</v>
      </c>
      <c r="E32" s="3">
        <f>_xlfn.XLOOKUP($B32,'Raw Data'!$I32:$I223,'Raw Data'!$K32:$K223,"")</f>
        <v>345.4</v>
      </c>
      <c r="F32" s="3">
        <f>_xlfn.XLOOKUP($B32,'Raw Data'!$M32:$M223,'Raw Data'!$O32:$O223,"")</f>
        <v>1902</v>
      </c>
      <c r="G32" s="3">
        <f>_xlfn.XLOOKUP($B32,'Raw Data'!$Q32:$Q223,'Raw Data'!$S32:$S223,"")</f>
        <v>1.0322</v>
      </c>
      <c r="H32" s="3">
        <f>_xlfn.XLOOKUP($B32,'Raw Data'!$U32:$U223,'Raw Data'!$W32:$W223,"")</f>
        <v>1406.58</v>
      </c>
      <c r="I32" s="3">
        <f>_xlfn.XLOOKUP($B32,'Raw Data'!$AG20:$AG199,'Raw Data'!$AI20:$AI199,"")</f>
        <v>49</v>
      </c>
    </row>
    <row r="33" spans="2:9" x14ac:dyDescent="0.25">
      <c r="B33" s="1">
        <v>41182</v>
      </c>
      <c r="C33" s="3">
        <f>_xlfn.XLOOKUP($B33,'Raw Data'!$A33:$A224,'Raw Data'!$C33:$C224,0)</f>
        <v>49.576999999999998</v>
      </c>
      <c r="D33" s="3">
        <f>_xlfn.XLOOKUP($B33,'Raw Data'!$E12:$E182,'Raw Data'!$G12:$G182,"")</f>
        <v>106</v>
      </c>
      <c r="E33" s="3">
        <f>_xlfn.XLOOKUP($B33,'Raw Data'!$I33:$I224,'Raw Data'!$K33:$K224,"")</f>
        <v>375.8</v>
      </c>
      <c r="F33" s="3">
        <f>_xlfn.XLOOKUP($B33,'Raw Data'!$M33:$M224,'Raw Data'!$O33:$O224,"")</f>
        <v>2112</v>
      </c>
      <c r="G33" s="3">
        <f>_xlfn.XLOOKUP($B33,'Raw Data'!$Q33:$Q224,'Raw Data'!$S33:$S224,"")</f>
        <v>1.0378000000000001</v>
      </c>
      <c r="H33" s="3">
        <f>_xlfn.XLOOKUP($B33,'Raw Data'!$U33:$U224,'Raw Data'!$W33:$W224,"")</f>
        <v>1440.67</v>
      </c>
      <c r="I33" s="3">
        <f>_xlfn.XLOOKUP($B33,'Raw Data'!$AG21:$AG200,'Raw Data'!$AI21:$AI200,"")</f>
        <v>50.8</v>
      </c>
    </row>
    <row r="34" spans="2:9" x14ac:dyDescent="0.25">
      <c r="B34" s="1">
        <v>41213</v>
      </c>
      <c r="C34" s="3">
        <f>_xlfn.XLOOKUP($B34,'Raw Data'!$A34:$A225,'Raw Data'!$C34:$C225,0)</f>
        <v>52.990900000000003</v>
      </c>
      <c r="D34" s="3">
        <f>_xlfn.XLOOKUP($B34,'Raw Data'!$E13:$E183,'Raw Data'!$G13:$G183,"")</f>
        <v>119.3</v>
      </c>
      <c r="E34" s="3">
        <f>_xlfn.XLOOKUP($B34,'Raw Data'!$I34:$I225,'Raw Data'!$K34:$K225,"")</f>
        <v>351.75</v>
      </c>
      <c r="F34" s="3">
        <f>_xlfn.XLOOKUP($B34,'Raw Data'!$M34:$M225,'Raw Data'!$O34:$O225,"")</f>
        <v>1906</v>
      </c>
      <c r="G34" s="3">
        <f>_xlfn.XLOOKUP($B34,'Raw Data'!$Q34:$Q225,'Raw Data'!$S34:$S225,"")</f>
        <v>1.0376000000000001</v>
      </c>
      <c r="H34" s="3">
        <f>_xlfn.XLOOKUP($B34,'Raw Data'!$U34:$U225,'Raw Data'!$W34:$W225,"")</f>
        <v>1412.16</v>
      </c>
      <c r="I34" s="3">
        <f>_xlfn.XLOOKUP($B34,'Raw Data'!$AG22:$AG201,'Raw Data'!$AI22:$AI201,"")</f>
        <v>50.5</v>
      </c>
    </row>
    <row r="35" spans="2:9" x14ac:dyDescent="0.25">
      <c r="B35" s="1">
        <v>41243</v>
      </c>
      <c r="C35" s="3">
        <f>_xlfn.XLOOKUP($B35,'Raw Data'!$A35:$A226,'Raw Data'!$C35:$C226,0)</f>
        <v>52.8001</v>
      </c>
      <c r="D35" s="3">
        <f>_xlfn.XLOOKUP($B35,'Raw Data'!$E14:$E184,'Raw Data'!$G14:$G184,"")</f>
        <v>116.7</v>
      </c>
      <c r="E35" s="3">
        <f>_xlfn.XLOOKUP($B35,'Raw Data'!$I35:$I226,'Raw Data'!$K35:$K226,"")</f>
        <v>362.95</v>
      </c>
      <c r="F35" s="3">
        <f>_xlfn.XLOOKUP($B35,'Raw Data'!$M35:$M226,'Raw Data'!$O35:$O226,"")</f>
        <v>2094</v>
      </c>
      <c r="G35" s="3">
        <f>_xlfn.XLOOKUP($B35,'Raw Data'!$Q35:$Q226,'Raw Data'!$S35:$S226,"")</f>
        <v>1.0427999999999999</v>
      </c>
      <c r="H35" s="3">
        <f>_xlfn.XLOOKUP($B35,'Raw Data'!$U35:$U226,'Raw Data'!$W35:$W226,"")</f>
        <v>1416.18</v>
      </c>
      <c r="I35" s="3">
        <f>_xlfn.XLOOKUP($B35,'Raw Data'!$AG23:$AG202,'Raw Data'!$AI23:$AI202,"")</f>
        <v>48</v>
      </c>
    </row>
    <row r="36" spans="2:9" x14ac:dyDescent="0.25">
      <c r="B36" s="1">
        <v>41274</v>
      </c>
      <c r="C36" s="3">
        <f>_xlfn.XLOOKUP($B36,'Raw Data'!$A36:$A227,'Raw Data'!$C36:$C227,0)</f>
        <v>61.589500000000001</v>
      </c>
      <c r="D36" s="3">
        <f>_xlfn.XLOOKUP($B36,'Raw Data'!$E15:$E185,'Raw Data'!$G15:$G185,"")</f>
        <v>140.9</v>
      </c>
      <c r="E36" s="3">
        <f>_xlfn.XLOOKUP($B36,'Raw Data'!$I36:$I227,'Raw Data'!$K36:$K227,"")</f>
        <v>365.25</v>
      </c>
      <c r="F36" s="3">
        <f>_xlfn.XLOOKUP($B36,'Raw Data'!$M36:$M227,'Raw Data'!$O36:$O227,"")</f>
        <v>2073</v>
      </c>
      <c r="G36" s="3">
        <f>_xlfn.XLOOKUP($B36,'Raw Data'!$Q36:$Q227,'Raw Data'!$S36:$S227,"")</f>
        <v>1.0394000000000001</v>
      </c>
      <c r="H36" s="3">
        <f>_xlfn.XLOOKUP($B36,'Raw Data'!$U36:$U227,'Raw Data'!$W36:$W227,"")</f>
        <v>1426.19</v>
      </c>
      <c r="I36" s="3">
        <f>_xlfn.XLOOKUP($B36,'Raw Data'!$AG24:$AG203,'Raw Data'!$AI24:$AI203,"")</f>
        <v>50.1</v>
      </c>
    </row>
    <row r="37" spans="2:9" x14ac:dyDescent="0.25">
      <c r="B37" s="1">
        <v>41305</v>
      </c>
      <c r="C37" s="3">
        <f>_xlfn.XLOOKUP($B37,'Raw Data'!$A37:$A228,'Raw Data'!$C37:$C228,0)</f>
        <v>59.871899999999997</v>
      </c>
      <c r="D37" s="3">
        <f>_xlfn.XLOOKUP($B37,'Raw Data'!$E16:$E186,'Raw Data'!$G16:$G186,"")</f>
        <v>150.6</v>
      </c>
      <c r="E37" s="3">
        <f>_xlfn.XLOOKUP($B37,'Raw Data'!$I37:$I228,'Raw Data'!$K37:$K228,"")</f>
        <v>373.2</v>
      </c>
      <c r="F37" s="3">
        <f>_xlfn.XLOOKUP($B37,'Raw Data'!$M37:$M228,'Raw Data'!$O37:$O228,"")</f>
        <v>2091</v>
      </c>
      <c r="G37" s="3">
        <f>_xlfn.XLOOKUP($B37,'Raw Data'!$Q37:$Q228,'Raw Data'!$S37:$S228,"")</f>
        <v>1.0425</v>
      </c>
      <c r="H37" s="3">
        <f>_xlfn.XLOOKUP($B37,'Raw Data'!$U37:$U228,'Raw Data'!$W37:$W228,"")</f>
        <v>1498.11</v>
      </c>
      <c r="I37" s="3">
        <f>_xlfn.XLOOKUP($B37,'Raw Data'!$AG25:$AG204,'Raw Data'!$AI25:$AI204,"")</f>
        <v>53.3</v>
      </c>
    </row>
    <row r="38" spans="2:9" x14ac:dyDescent="0.25">
      <c r="B38" s="1">
        <v>41333</v>
      </c>
      <c r="C38" s="3">
        <f>_xlfn.XLOOKUP($B38,'Raw Data'!$A38:$A229,'Raw Data'!$C38:$C229,0)</f>
        <v>56.871400000000001</v>
      </c>
      <c r="D38" s="3">
        <f>_xlfn.XLOOKUP($B38,'Raw Data'!$E17:$E187,'Raw Data'!$G17:$G187,"")</f>
        <v>150.5</v>
      </c>
      <c r="E38" s="3">
        <f>_xlfn.XLOOKUP($B38,'Raw Data'!$I38:$I229,'Raw Data'!$K38:$K229,"")</f>
        <v>352.75</v>
      </c>
      <c r="F38" s="3">
        <f>_xlfn.XLOOKUP($B38,'Raw Data'!$M38:$M229,'Raw Data'!$O38:$O229,"")</f>
        <v>2005</v>
      </c>
      <c r="G38" s="3">
        <f>_xlfn.XLOOKUP($B38,'Raw Data'!$Q38:$Q229,'Raw Data'!$S38:$S229,"")</f>
        <v>1.0215000000000001</v>
      </c>
      <c r="H38" s="3">
        <f>_xlfn.XLOOKUP($B38,'Raw Data'!$U38:$U229,'Raw Data'!$W38:$W229,"")</f>
        <v>1514.68</v>
      </c>
      <c r="I38" s="3">
        <f>_xlfn.XLOOKUP($B38,'Raw Data'!$AG26:$AG205,'Raw Data'!$AI26:$AI205,"")</f>
        <v>54.2</v>
      </c>
    </row>
    <row r="39" spans="2:9" x14ac:dyDescent="0.25">
      <c r="B39" s="1">
        <v>41364</v>
      </c>
      <c r="C39" s="3">
        <f>_xlfn.XLOOKUP($B39,'Raw Data'!$A39:$A230,'Raw Data'!$C39:$C230,0)</f>
        <v>50.805999999999997</v>
      </c>
      <c r="D39" s="3">
        <f>_xlfn.XLOOKUP($B39,'Raw Data'!$E18:$E188,'Raw Data'!$G18:$G188,"")</f>
        <v>134</v>
      </c>
      <c r="E39" s="3">
        <f>_xlfn.XLOOKUP($B39,'Raw Data'!$I39:$I230,'Raw Data'!$K39:$K230,"")</f>
        <v>340.2</v>
      </c>
      <c r="F39" s="3">
        <f>_xlfn.XLOOKUP($B39,'Raw Data'!$M39:$M230,'Raw Data'!$O39:$O230,"")</f>
        <v>1904</v>
      </c>
      <c r="G39" s="3">
        <f>_xlfn.XLOOKUP($B39,'Raw Data'!$Q39:$Q230,'Raw Data'!$S39:$S230,"")</f>
        <v>1.0419</v>
      </c>
      <c r="H39" s="3">
        <f>_xlfn.XLOOKUP($B39,'Raw Data'!$U39:$U230,'Raw Data'!$W39:$W230,"")</f>
        <v>1569.19</v>
      </c>
      <c r="I39" s="3">
        <f>_xlfn.XLOOKUP($B39,'Raw Data'!$AG27:$AG206,'Raw Data'!$AI27:$AI206,"")</f>
        <v>51.9</v>
      </c>
    </row>
    <row r="40" spans="2:9" x14ac:dyDescent="0.25">
      <c r="B40" s="1">
        <v>41394</v>
      </c>
      <c r="C40" s="3">
        <f>_xlfn.XLOOKUP($B40,'Raw Data'!$A40:$A231,'Raw Data'!$C40:$C231,0)</f>
        <v>49.705199999999998</v>
      </c>
      <c r="D40" s="3">
        <f>_xlfn.XLOOKUP($B40,'Raw Data'!$E19:$E189,'Raw Data'!$G19:$G189,"")</f>
        <v>134.6</v>
      </c>
      <c r="E40" s="3">
        <f>_xlfn.XLOOKUP($B40,'Raw Data'!$I40:$I231,'Raw Data'!$K40:$K231,"")</f>
        <v>318.75</v>
      </c>
      <c r="F40" s="3">
        <f>_xlfn.XLOOKUP($B40,'Raw Data'!$M40:$M231,'Raw Data'!$O40:$O231,"")</f>
        <v>1870</v>
      </c>
      <c r="G40" s="3">
        <f>_xlfn.XLOOKUP($B40,'Raw Data'!$Q40:$Q231,'Raw Data'!$S40:$S231,"")</f>
        <v>1.0370999999999999</v>
      </c>
      <c r="H40" s="3">
        <f>_xlfn.XLOOKUP($B40,'Raw Data'!$U40:$U231,'Raw Data'!$W40:$W231,"")</f>
        <v>1597.57</v>
      </c>
      <c r="I40" s="3">
        <f>_xlfn.XLOOKUP($B40,'Raw Data'!$AG28:$AG207,'Raw Data'!$AI28:$AI207,"")</f>
        <v>51</v>
      </c>
    </row>
    <row r="41" spans="2:9" x14ac:dyDescent="0.25">
      <c r="B41" s="1">
        <v>41425</v>
      </c>
      <c r="C41" s="3">
        <f>_xlfn.XLOOKUP($B41,'Raw Data'!$A41:$A232,'Raw Data'!$C41:$C232,0)</f>
        <v>46.100900000000003</v>
      </c>
      <c r="D41" s="3">
        <f>_xlfn.XLOOKUP($B41,'Raw Data'!$E20:$E190,'Raw Data'!$G20:$G190,"")</f>
        <v>113</v>
      </c>
      <c r="E41" s="3">
        <f>_xlfn.XLOOKUP($B41,'Raw Data'!$I41:$I232,'Raw Data'!$K41:$K232,"")</f>
        <v>329.25</v>
      </c>
      <c r="F41" s="3">
        <f>_xlfn.XLOOKUP($B41,'Raw Data'!$M41:$M232,'Raw Data'!$O41:$O232,"")</f>
        <v>1906</v>
      </c>
      <c r="G41" s="3">
        <f>_xlfn.XLOOKUP($B41,'Raw Data'!$Q41:$Q232,'Raw Data'!$S41:$S232,"")</f>
        <v>0.95709999999999995</v>
      </c>
      <c r="H41" s="3">
        <f>_xlfn.XLOOKUP($B41,'Raw Data'!$U41:$U232,'Raw Data'!$W41:$W232,"")</f>
        <v>1630.74</v>
      </c>
      <c r="I41" s="3">
        <f>_xlfn.XLOOKUP($B41,'Raw Data'!$AG29:$AG208,'Raw Data'!$AI29:$AI208,"")</f>
        <v>50.8</v>
      </c>
    </row>
    <row r="42" spans="2:9" x14ac:dyDescent="0.25">
      <c r="B42" s="1">
        <v>41455</v>
      </c>
      <c r="C42" s="3">
        <f>_xlfn.XLOOKUP($B42,'Raw Data'!$A42:$A233,'Raw Data'!$C42:$C233,0)</f>
        <v>44.331099999999999</v>
      </c>
      <c r="D42" s="3">
        <f>_xlfn.XLOOKUP($B42,'Raw Data'!$E21:$E191,'Raw Data'!$G21:$G191,"")</f>
        <v>115.4</v>
      </c>
      <c r="E42" s="3">
        <f>_xlfn.XLOOKUP($B42,'Raw Data'!$I42:$I233,'Raw Data'!$K42:$K233,"")</f>
        <v>305.05</v>
      </c>
      <c r="F42" s="3">
        <f>_xlfn.XLOOKUP($B42,'Raw Data'!$M42:$M233,'Raw Data'!$O42:$O233,"")</f>
        <v>1773</v>
      </c>
      <c r="G42" s="3">
        <f>_xlfn.XLOOKUP($B42,'Raw Data'!$Q42:$Q233,'Raw Data'!$S42:$S233,"")</f>
        <v>0.91379999999999995</v>
      </c>
      <c r="H42" s="3">
        <f>_xlfn.XLOOKUP($B42,'Raw Data'!$U42:$U233,'Raw Data'!$W42:$W233,"")</f>
        <v>1606.28</v>
      </c>
      <c r="I42" s="3">
        <f>_xlfn.XLOOKUP($B42,'Raw Data'!$AG30:$AG209,'Raw Data'!$AI30:$AI209,"")</f>
        <v>51.1</v>
      </c>
    </row>
    <row r="43" spans="2:9" x14ac:dyDescent="0.25">
      <c r="B43" s="1">
        <v>41486</v>
      </c>
      <c r="C43" s="3">
        <f>_xlfn.XLOOKUP($B43,'Raw Data'!$A43:$A234,'Raw Data'!$C43:$C234,0)</f>
        <v>48.550600000000003</v>
      </c>
      <c r="D43" s="3">
        <f>_xlfn.XLOOKUP($B43,'Raw Data'!$E22:$E192,'Raw Data'!$G22:$G192,"")</f>
        <v>127.6</v>
      </c>
      <c r="E43" s="3">
        <f>_xlfn.XLOOKUP($B43,'Raw Data'!$I43:$I234,'Raw Data'!$K43:$K234,"")</f>
        <v>311.85000000000002</v>
      </c>
      <c r="F43" s="3">
        <f>_xlfn.XLOOKUP($B43,'Raw Data'!$M43:$M234,'Raw Data'!$O43:$O234,"")</f>
        <v>1804</v>
      </c>
      <c r="G43" s="3">
        <f>_xlfn.XLOOKUP($B43,'Raw Data'!$Q43:$Q234,'Raw Data'!$S43:$S234,"")</f>
        <v>0.8982</v>
      </c>
      <c r="H43" s="3">
        <f>_xlfn.XLOOKUP($B43,'Raw Data'!$U43:$U234,'Raw Data'!$W43:$W234,"")</f>
        <v>1685.73</v>
      </c>
      <c r="I43" s="3">
        <f>_xlfn.XLOOKUP($B43,'Raw Data'!$AG31:$AG210,'Raw Data'!$AI31:$AI210,"")</f>
        <v>53.8</v>
      </c>
    </row>
    <row r="44" spans="2:9" x14ac:dyDescent="0.25">
      <c r="B44" s="1">
        <v>41517</v>
      </c>
      <c r="C44" s="3">
        <f>_xlfn.XLOOKUP($B44,'Raw Data'!$A44:$A235,'Raw Data'!$C44:$C235,0)</f>
        <v>49.510399999999997</v>
      </c>
      <c r="D44" s="3">
        <f>_xlfn.XLOOKUP($B44,'Raw Data'!$E23:$E193,'Raw Data'!$G23:$G193,"")</f>
        <v>134.5</v>
      </c>
      <c r="E44" s="3">
        <f>_xlfn.XLOOKUP($B44,'Raw Data'!$I44:$I235,'Raw Data'!$K44:$K235,"")</f>
        <v>322.5</v>
      </c>
      <c r="F44" s="3">
        <f>_xlfn.XLOOKUP($B44,'Raw Data'!$M44:$M235,'Raw Data'!$O44:$O235,"")</f>
        <v>1813.5</v>
      </c>
      <c r="G44" s="3">
        <f>_xlfn.XLOOKUP($B44,'Raw Data'!$Q44:$Q235,'Raw Data'!$S44:$S235,"")</f>
        <v>0.8901</v>
      </c>
      <c r="H44" s="3">
        <f>_xlfn.XLOOKUP($B44,'Raw Data'!$U44:$U235,'Raw Data'!$W44:$W235,"")</f>
        <v>1632.97</v>
      </c>
      <c r="I44" s="3">
        <f>_xlfn.XLOOKUP($B44,'Raw Data'!$AG32:$AG211,'Raw Data'!$AI32:$AI211,"")</f>
        <v>54</v>
      </c>
    </row>
    <row r="45" spans="2:9" x14ac:dyDescent="0.25">
      <c r="B45" s="1">
        <v>41547</v>
      </c>
      <c r="C45" s="3">
        <f>_xlfn.XLOOKUP($B45,'Raw Data'!$A45:$A236,'Raw Data'!$C45:$C236,0)</f>
        <v>53.516500000000001</v>
      </c>
      <c r="D45" s="3">
        <f>_xlfn.XLOOKUP($B45,'Raw Data'!$E24:$E194,'Raw Data'!$G24:$G194,"")</f>
        <v>131.9</v>
      </c>
      <c r="E45" s="3">
        <f>_xlfn.XLOOKUP($B45,'Raw Data'!$I45:$I236,'Raw Data'!$K45:$K236,"")</f>
        <v>332.3</v>
      </c>
      <c r="F45" s="3">
        <f>_xlfn.XLOOKUP($B45,'Raw Data'!$M45:$M236,'Raw Data'!$O45:$O236,"")</f>
        <v>1845</v>
      </c>
      <c r="G45" s="3">
        <f>_xlfn.XLOOKUP($B45,'Raw Data'!$Q45:$Q236,'Raw Data'!$S45:$S236,"")</f>
        <v>0.93169999999999997</v>
      </c>
      <c r="H45" s="3">
        <f>_xlfn.XLOOKUP($B45,'Raw Data'!$U45:$U236,'Raw Data'!$W45:$W236,"")</f>
        <v>1681.55</v>
      </c>
      <c r="I45" s="3">
        <f>_xlfn.XLOOKUP($B45,'Raw Data'!$AG33:$AG212,'Raw Data'!$AI33:$AI212,"")</f>
        <v>54.6</v>
      </c>
    </row>
    <row r="46" spans="2:9" x14ac:dyDescent="0.25">
      <c r="B46" s="1">
        <v>41578</v>
      </c>
      <c r="C46" s="3">
        <f>_xlfn.XLOOKUP($B46,'Raw Data'!$A46:$A237,'Raw Data'!$C46:$C237,0)</f>
        <v>55.645699999999998</v>
      </c>
      <c r="D46" s="3">
        <f>_xlfn.XLOOKUP($B46,'Raw Data'!$E25:$E195,'Raw Data'!$G25:$G195,"")</f>
        <v>133.6</v>
      </c>
      <c r="E46" s="3">
        <f>_xlfn.XLOOKUP($B46,'Raw Data'!$I46:$I237,'Raw Data'!$K46:$K237,"")</f>
        <v>330.05</v>
      </c>
      <c r="F46" s="3">
        <f>_xlfn.XLOOKUP($B46,'Raw Data'!$M46:$M237,'Raw Data'!$O46:$O237,"")</f>
        <v>1859</v>
      </c>
      <c r="G46" s="3">
        <f>_xlfn.XLOOKUP($B46,'Raw Data'!$Q46:$Q237,'Raw Data'!$S46:$S237,"")</f>
        <v>0.9456</v>
      </c>
      <c r="H46" s="3">
        <f>_xlfn.XLOOKUP($B46,'Raw Data'!$U46:$U237,'Raw Data'!$W46:$W237,"")</f>
        <v>1756.54</v>
      </c>
      <c r="I46" s="3">
        <f>_xlfn.XLOOKUP($B46,'Raw Data'!$AG34:$AG213,'Raw Data'!$AI34:$AI213,"")</f>
        <v>54.6</v>
      </c>
    </row>
    <row r="47" spans="2:9" x14ac:dyDescent="0.25">
      <c r="B47" s="1">
        <v>41608</v>
      </c>
      <c r="C47" s="3">
        <f>_xlfn.XLOOKUP($B47,'Raw Data'!$A47:$A238,'Raw Data'!$C47:$C238,0)</f>
        <v>58.224899999999998</v>
      </c>
      <c r="D47" s="3">
        <f>_xlfn.XLOOKUP($B47,'Raw Data'!$E26:$E196,'Raw Data'!$G26:$G196,"")</f>
        <v>135.96</v>
      </c>
      <c r="E47" s="3">
        <f>_xlfn.XLOOKUP($B47,'Raw Data'!$I47:$I238,'Raw Data'!$K47:$K238,"")</f>
        <v>323.05</v>
      </c>
      <c r="F47" s="3">
        <f>_xlfn.XLOOKUP($B47,'Raw Data'!$M47:$M238,'Raw Data'!$O47:$O238,"")</f>
        <v>1755</v>
      </c>
      <c r="G47" s="3">
        <f>_xlfn.XLOOKUP($B47,'Raw Data'!$Q47:$Q238,'Raw Data'!$S47:$S238,"")</f>
        <v>0.91080000000000005</v>
      </c>
      <c r="H47" s="3">
        <f>_xlfn.XLOOKUP($B47,'Raw Data'!$U47:$U238,'Raw Data'!$W47:$W238,"")</f>
        <v>1805.81</v>
      </c>
      <c r="I47" s="3">
        <f>_xlfn.XLOOKUP($B47,'Raw Data'!$AG35:$AG214,'Raw Data'!$AI35:$AI214,"")</f>
        <v>55.5</v>
      </c>
    </row>
    <row r="48" spans="2:9" x14ac:dyDescent="0.25">
      <c r="B48" s="1">
        <v>41639</v>
      </c>
      <c r="C48" s="3">
        <f>_xlfn.XLOOKUP($B48,'Raw Data'!$A48:$A239,'Raw Data'!$C48:$C239,0)</f>
        <v>61.934600000000003</v>
      </c>
      <c r="D48" s="3">
        <f>_xlfn.XLOOKUP($B48,'Raw Data'!$E27:$E197,'Raw Data'!$G27:$G197,"")</f>
        <v>133.41</v>
      </c>
      <c r="E48" s="3">
        <f>_xlfn.XLOOKUP($B48,'Raw Data'!$I48:$I239,'Raw Data'!$K48:$K239,"")</f>
        <v>339.65</v>
      </c>
      <c r="F48" s="3">
        <f>_xlfn.XLOOKUP($B48,'Raw Data'!$M48:$M239,'Raw Data'!$O48:$O239,"")</f>
        <v>1800.25</v>
      </c>
      <c r="G48" s="3">
        <f>_xlfn.XLOOKUP($B48,'Raw Data'!$Q48:$Q239,'Raw Data'!$S48:$S239,"")</f>
        <v>0.89170000000000005</v>
      </c>
      <c r="H48" s="3">
        <f>_xlfn.XLOOKUP($B48,'Raw Data'!$U48:$U239,'Raw Data'!$W48:$W239,"")</f>
        <v>1848.36</v>
      </c>
      <c r="I48" s="3">
        <f>_xlfn.XLOOKUP($B48,'Raw Data'!$AG36:$AG215,'Raw Data'!$AI36:$AI215,"")</f>
        <v>56.5</v>
      </c>
    </row>
    <row r="49" spans="2:9" x14ac:dyDescent="0.25">
      <c r="B49" s="1">
        <v>41670</v>
      </c>
      <c r="C49" s="3">
        <f>_xlfn.XLOOKUP($B49,'Raw Data'!$A49:$A240,'Raw Data'!$C49:$C240,0)</f>
        <v>58.334699999999998</v>
      </c>
      <c r="D49" s="3">
        <f>_xlfn.XLOOKUP($B49,'Raw Data'!$E28:$E198,'Raw Data'!$G28:$G198,"")</f>
        <v>125.4</v>
      </c>
      <c r="E49" s="3">
        <f>_xlfn.XLOOKUP($B49,'Raw Data'!$I49:$I240,'Raw Data'!$K49:$K240,"")</f>
        <v>319.7</v>
      </c>
      <c r="F49" s="3">
        <f>_xlfn.XLOOKUP($B49,'Raw Data'!$M49:$M240,'Raw Data'!$O49:$O240,"")</f>
        <v>1706</v>
      </c>
      <c r="G49" s="3">
        <f>_xlfn.XLOOKUP($B49,'Raw Data'!$Q49:$Q240,'Raw Data'!$S49:$S240,"")</f>
        <v>0.87560000000000004</v>
      </c>
      <c r="H49" s="3">
        <f>_xlfn.XLOOKUP($B49,'Raw Data'!$U49:$U240,'Raw Data'!$W49:$W240,"")</f>
        <v>1782.59</v>
      </c>
      <c r="I49" s="3">
        <f>_xlfn.XLOOKUP($B49,'Raw Data'!$AG37:$AG216,'Raw Data'!$AI37:$AI216,"")</f>
        <v>52.5</v>
      </c>
    </row>
    <row r="50" spans="2:9" x14ac:dyDescent="0.25">
      <c r="B50" s="1">
        <v>41698</v>
      </c>
      <c r="C50" s="3">
        <f>_xlfn.XLOOKUP($B50,'Raw Data'!$A50:$A241,'Raw Data'!$C50:$C241,0)</f>
        <v>62.889499999999998</v>
      </c>
      <c r="D50" s="3">
        <f>_xlfn.XLOOKUP($B50,'Raw Data'!$E29:$E199,'Raw Data'!$G29:$G199,"")</f>
        <v>115.8</v>
      </c>
      <c r="E50" s="3">
        <f>_xlfn.XLOOKUP($B50,'Raw Data'!$I50:$I241,'Raw Data'!$K50:$K241,"")</f>
        <v>323.85000000000002</v>
      </c>
      <c r="F50" s="3">
        <f>_xlfn.XLOOKUP($B50,'Raw Data'!$M50:$M241,'Raw Data'!$O50:$O241,"")</f>
        <v>1754</v>
      </c>
      <c r="G50" s="3">
        <f>_xlfn.XLOOKUP($B50,'Raw Data'!$Q50:$Q241,'Raw Data'!$S50:$S241,"")</f>
        <v>0.89239999999999997</v>
      </c>
      <c r="H50" s="3">
        <f>_xlfn.XLOOKUP($B50,'Raw Data'!$U50:$U241,'Raw Data'!$W50:$W241,"")</f>
        <v>1859.45</v>
      </c>
      <c r="I50" s="3">
        <f>_xlfn.XLOOKUP($B50,'Raw Data'!$AG38:$AG217,'Raw Data'!$AI38:$AI217,"")</f>
        <v>55</v>
      </c>
    </row>
    <row r="51" spans="2:9" x14ac:dyDescent="0.25">
      <c r="B51" s="1">
        <v>41729</v>
      </c>
      <c r="C51" s="3">
        <f>_xlfn.XLOOKUP($B51,'Raw Data'!$A51:$A242,'Raw Data'!$C51:$C242,0)</f>
        <v>62.500300000000003</v>
      </c>
      <c r="D51" s="3">
        <f>_xlfn.XLOOKUP($B51,'Raw Data'!$E30:$E200,'Raw Data'!$G30:$G200,"")</f>
        <v>108.1</v>
      </c>
      <c r="E51" s="3">
        <f>_xlfn.XLOOKUP($B51,'Raw Data'!$I51:$I242,'Raw Data'!$K51:$K242,"")</f>
        <v>302.55</v>
      </c>
      <c r="F51" s="3">
        <f>_xlfn.XLOOKUP($B51,'Raw Data'!$M51:$M242,'Raw Data'!$O51:$O242,"")</f>
        <v>1785</v>
      </c>
      <c r="G51" s="3">
        <f>_xlfn.XLOOKUP($B51,'Raw Data'!$Q51:$Q242,'Raw Data'!$S51:$S242,"")</f>
        <v>0.9264</v>
      </c>
      <c r="H51" s="3">
        <f>_xlfn.XLOOKUP($B51,'Raw Data'!$U51:$U242,'Raw Data'!$W51:$W242,"")</f>
        <v>1872.34</v>
      </c>
      <c r="I51" s="3">
        <f>_xlfn.XLOOKUP($B51,'Raw Data'!$AG39:$AG218,'Raw Data'!$AI39:$AI218,"")</f>
        <v>55.9</v>
      </c>
    </row>
    <row r="52" spans="2:9" x14ac:dyDescent="0.25">
      <c r="B52" s="1">
        <v>41759</v>
      </c>
      <c r="C52" s="3">
        <f>_xlfn.XLOOKUP($B52,'Raw Data'!$A52:$A243,'Raw Data'!$C52:$C243,0)</f>
        <v>60.776299999999999</v>
      </c>
      <c r="D52" s="3">
        <f>_xlfn.XLOOKUP($B52,'Raw Data'!$E31:$E201,'Raw Data'!$G31:$G201,"")</f>
        <v>103.9</v>
      </c>
      <c r="E52" s="3">
        <f>_xlfn.XLOOKUP($B52,'Raw Data'!$I52:$I243,'Raw Data'!$K52:$K243,"")</f>
        <v>302.95</v>
      </c>
      <c r="F52" s="3">
        <f>_xlfn.XLOOKUP($B52,'Raw Data'!$M52:$M243,'Raw Data'!$O52:$O243,"")</f>
        <v>1800</v>
      </c>
      <c r="G52" s="3">
        <f>_xlfn.XLOOKUP($B52,'Raw Data'!$Q52:$Q243,'Raw Data'!$S52:$S243,"")</f>
        <v>0.92869999999999997</v>
      </c>
      <c r="H52" s="3">
        <f>_xlfn.XLOOKUP($B52,'Raw Data'!$U52:$U243,'Raw Data'!$W52:$W243,"")</f>
        <v>1883.95</v>
      </c>
      <c r="I52" s="3">
        <f>_xlfn.XLOOKUP($B52,'Raw Data'!$AG40:$AG219,'Raw Data'!$AI40:$AI219,"")</f>
        <v>56.6</v>
      </c>
    </row>
    <row r="53" spans="2:9" x14ac:dyDescent="0.25">
      <c r="B53" s="1">
        <v>41790</v>
      </c>
      <c r="C53" s="3">
        <f>_xlfn.XLOOKUP($B53,'Raw Data'!$A53:$A244,'Raw Data'!$C53:$C244,0)</f>
        <v>57.518599999999999</v>
      </c>
      <c r="D53" s="3">
        <f>_xlfn.XLOOKUP($B53,'Raw Data'!$E32:$E202,'Raw Data'!$G32:$G202,"")</f>
        <v>92.2</v>
      </c>
      <c r="E53" s="3">
        <f>_xlfn.XLOOKUP($B53,'Raw Data'!$I53:$I244,'Raw Data'!$K53:$K244,"")</f>
        <v>312.35000000000002</v>
      </c>
      <c r="F53" s="3">
        <f>_xlfn.XLOOKUP($B53,'Raw Data'!$M53:$M244,'Raw Data'!$O53:$O244,"")</f>
        <v>1838</v>
      </c>
      <c r="G53" s="3">
        <f>_xlfn.XLOOKUP($B53,'Raw Data'!$Q53:$Q244,'Raw Data'!$S53:$S244,"")</f>
        <v>0.93100000000000005</v>
      </c>
      <c r="H53" s="3">
        <f>_xlfn.XLOOKUP($B53,'Raw Data'!$U53:$U244,'Raw Data'!$W53:$W244,"")</f>
        <v>1923.57</v>
      </c>
      <c r="I53" s="3">
        <f>_xlfn.XLOOKUP($B53,'Raw Data'!$AG41:$AG220,'Raw Data'!$AI41:$AI220,"")</f>
        <v>55.7</v>
      </c>
    </row>
    <row r="54" spans="2:9" x14ac:dyDescent="0.25">
      <c r="B54" s="1">
        <v>41820</v>
      </c>
      <c r="C54" s="3">
        <f>_xlfn.XLOOKUP($B54,'Raw Data'!$A54:$A245,'Raw Data'!$C54:$C245,0)</f>
        <v>60.765099999999997</v>
      </c>
      <c r="D54" s="3">
        <f>_xlfn.XLOOKUP($B54,'Raw Data'!$E33:$E203,'Raw Data'!$G33:$G203,"")</f>
        <v>90.4</v>
      </c>
      <c r="E54" s="3">
        <f>_xlfn.XLOOKUP($B54,'Raw Data'!$I54:$I245,'Raw Data'!$K54:$K245,"")</f>
        <v>318.8</v>
      </c>
      <c r="F54" s="3">
        <f>_xlfn.XLOOKUP($B54,'Raw Data'!$M54:$M245,'Raw Data'!$O54:$O245,"")</f>
        <v>1891</v>
      </c>
      <c r="G54" s="3">
        <f>_xlfn.XLOOKUP($B54,'Raw Data'!$Q54:$Q245,'Raw Data'!$S54:$S245,"")</f>
        <v>0.94330000000000003</v>
      </c>
      <c r="H54" s="3">
        <f>_xlfn.XLOOKUP($B54,'Raw Data'!$U54:$U245,'Raw Data'!$W54:$W245,"")</f>
        <v>1960.23</v>
      </c>
      <c r="I54" s="3">
        <f>_xlfn.XLOOKUP($B54,'Raw Data'!$AG42:$AG221,'Raw Data'!$AI42:$AI221,"")</f>
        <v>55</v>
      </c>
    </row>
    <row r="55" spans="2:9" x14ac:dyDescent="0.25">
      <c r="B55" s="1">
        <v>41851</v>
      </c>
      <c r="C55" s="3">
        <f>_xlfn.XLOOKUP($B55,'Raw Data'!$A55:$A246,'Raw Data'!$C55:$C246,0)</f>
        <v>64.134699999999995</v>
      </c>
      <c r="D55" s="3">
        <f>_xlfn.XLOOKUP($B55,'Raw Data'!$E34:$E204,'Raw Data'!$G34:$G204,"")</f>
        <v>92.3</v>
      </c>
      <c r="E55" s="3">
        <f>_xlfn.XLOOKUP($B55,'Raw Data'!$I55:$I246,'Raw Data'!$K55:$K246,"")</f>
        <v>323.10000000000002</v>
      </c>
      <c r="F55" s="3">
        <f>_xlfn.XLOOKUP($B55,'Raw Data'!$M55:$M246,'Raw Data'!$O55:$O246,"")</f>
        <v>1988</v>
      </c>
      <c r="G55" s="3">
        <f>_xlfn.XLOOKUP($B55,'Raw Data'!$Q55:$Q246,'Raw Data'!$S55:$S246,"")</f>
        <v>0.92949999999999999</v>
      </c>
      <c r="H55" s="3">
        <f>_xlfn.XLOOKUP($B55,'Raw Data'!$U55:$U246,'Raw Data'!$W55:$W246,"")</f>
        <v>1930.67</v>
      </c>
      <c r="I55" s="3">
        <f>_xlfn.XLOOKUP($B55,'Raw Data'!$AG43:$AG222,'Raw Data'!$AI43:$AI222,"")</f>
        <v>55.1</v>
      </c>
    </row>
    <row r="56" spans="2:9" x14ac:dyDescent="0.25">
      <c r="B56" s="1">
        <v>41882</v>
      </c>
      <c r="C56" s="3">
        <f>_xlfn.XLOOKUP($B56,'Raw Data'!$A56:$A247,'Raw Data'!$C56:$C247,0)</f>
        <v>61.136899999999997</v>
      </c>
      <c r="D56" s="3">
        <f>_xlfn.XLOOKUP($B56,'Raw Data'!$E35:$E205,'Raw Data'!$G35:$G205,"")</f>
        <v>86.2</v>
      </c>
      <c r="E56" s="3">
        <f>_xlfn.XLOOKUP($B56,'Raw Data'!$I56:$I247,'Raw Data'!$K56:$K247,"")</f>
        <v>313.5</v>
      </c>
      <c r="F56" s="3">
        <f>_xlfn.XLOOKUP($B56,'Raw Data'!$M56:$M247,'Raw Data'!$O56:$O247,"")</f>
        <v>2096.5</v>
      </c>
      <c r="G56" s="3">
        <f>_xlfn.XLOOKUP($B56,'Raw Data'!$Q56:$Q247,'Raw Data'!$S56:$S247,"")</f>
        <v>0.93389999999999995</v>
      </c>
      <c r="H56" s="3">
        <f>_xlfn.XLOOKUP($B56,'Raw Data'!$U56:$U247,'Raw Data'!$W56:$W247,"")</f>
        <v>2003.37</v>
      </c>
      <c r="I56" s="3">
        <f>_xlfn.XLOOKUP($B56,'Raw Data'!$AG44:$AG223,'Raw Data'!$AI44:$AI223,"")</f>
        <v>56.3</v>
      </c>
    </row>
    <row r="57" spans="2:9" x14ac:dyDescent="0.25">
      <c r="B57" s="1">
        <v>41912</v>
      </c>
      <c r="C57" s="3">
        <f>_xlfn.XLOOKUP($B57,'Raw Data'!$A57:$A248,'Raw Data'!$C57:$C248,0)</f>
        <v>55.949300000000001</v>
      </c>
      <c r="D57" s="3">
        <f>_xlfn.XLOOKUP($B57,'Raw Data'!$E36:$E206,'Raw Data'!$G36:$G206,"")</f>
        <v>80.8</v>
      </c>
      <c r="E57" s="3">
        <f>_xlfn.XLOOKUP($B57,'Raw Data'!$I57:$I248,'Raw Data'!$K57:$K248,"")</f>
        <v>300.75</v>
      </c>
      <c r="F57" s="3">
        <f>_xlfn.XLOOKUP($B57,'Raw Data'!$M57:$M248,'Raw Data'!$O57:$O248,"")</f>
        <v>1960</v>
      </c>
      <c r="G57" s="3">
        <f>_xlfn.XLOOKUP($B57,'Raw Data'!$Q57:$Q248,'Raw Data'!$S57:$S248,"")</f>
        <v>0.87470000000000003</v>
      </c>
      <c r="H57" s="3">
        <f>_xlfn.XLOOKUP($B57,'Raw Data'!$U57:$U248,'Raw Data'!$W57:$W248,"")</f>
        <v>1972.29</v>
      </c>
      <c r="I57" s="3">
        <f>_xlfn.XLOOKUP($B57,'Raw Data'!$AG45:$AG224,'Raw Data'!$AI45:$AI224,"")</f>
        <v>55.7</v>
      </c>
    </row>
    <row r="58" spans="2:9" x14ac:dyDescent="0.25">
      <c r="B58" s="1">
        <v>41943</v>
      </c>
      <c r="C58" s="3">
        <f>_xlfn.XLOOKUP($B58,'Raw Data'!$A58:$A249,'Raw Data'!$C58:$C249,0)</f>
        <v>54.572699999999998</v>
      </c>
      <c r="D58" s="3">
        <f>_xlfn.XLOOKUP($B58,'Raw Data'!$E37:$E207,'Raw Data'!$G37:$G207,"")</f>
        <v>77.5</v>
      </c>
      <c r="E58" s="3">
        <f>_xlfn.XLOOKUP($B58,'Raw Data'!$I58:$I249,'Raw Data'!$K58:$K249,"")</f>
        <v>304.7</v>
      </c>
      <c r="F58" s="3">
        <f>_xlfn.XLOOKUP($B58,'Raw Data'!$M58:$M249,'Raw Data'!$O58:$O249,"")</f>
        <v>2039</v>
      </c>
      <c r="G58" s="3">
        <f>_xlfn.XLOOKUP($B58,'Raw Data'!$Q58:$Q249,'Raw Data'!$S58:$S249,"")</f>
        <v>0.87980000000000003</v>
      </c>
      <c r="H58" s="3">
        <f>_xlfn.XLOOKUP($B58,'Raw Data'!$U58:$U249,'Raw Data'!$W58:$W249,"")</f>
        <v>2018.05</v>
      </c>
      <c r="I58" s="3">
        <f>_xlfn.XLOOKUP($B58,'Raw Data'!$AG46:$AG225,'Raw Data'!$AI46:$AI225,"")</f>
        <v>56.2</v>
      </c>
    </row>
    <row r="59" spans="2:9" x14ac:dyDescent="0.25">
      <c r="B59" s="1">
        <v>41973</v>
      </c>
      <c r="C59" s="3">
        <f>_xlfn.XLOOKUP($B59,'Raw Data'!$A59:$A250,'Raw Data'!$C59:$C250,0)</f>
        <v>53.014200000000002</v>
      </c>
      <c r="D59" s="3">
        <f>_xlfn.XLOOKUP($B59,'Raw Data'!$E38:$E208,'Raw Data'!$G38:$G208,"")</f>
        <v>70.400000000000006</v>
      </c>
      <c r="E59" s="3">
        <f>_xlfn.XLOOKUP($B59,'Raw Data'!$I59:$I250,'Raw Data'!$K59:$K250,"")</f>
        <v>286</v>
      </c>
      <c r="F59" s="3">
        <f>_xlfn.XLOOKUP($B59,'Raw Data'!$M59:$M250,'Raw Data'!$O59:$O250,"")</f>
        <v>2004</v>
      </c>
      <c r="G59" s="3">
        <f>_xlfn.XLOOKUP($B59,'Raw Data'!$Q59:$Q250,'Raw Data'!$S59:$S250,"")</f>
        <v>0.85060000000000002</v>
      </c>
      <c r="H59" s="3">
        <f>_xlfn.XLOOKUP($B59,'Raw Data'!$U59:$U250,'Raw Data'!$W59:$W250,"")</f>
        <v>2067.56</v>
      </c>
      <c r="I59" s="3">
        <f>_xlfn.XLOOKUP($B59,'Raw Data'!$AG47:$AG226,'Raw Data'!$AI47:$AI226,"")</f>
        <v>56.3</v>
      </c>
    </row>
    <row r="60" spans="2:9" x14ac:dyDescent="0.25">
      <c r="B60" s="1">
        <v>42004</v>
      </c>
      <c r="C60" s="3">
        <f>_xlfn.XLOOKUP($B60,'Raw Data'!$A60:$A251,'Raw Data'!$C60:$C251,0)</f>
        <v>52.399799999999999</v>
      </c>
      <c r="D60" s="3">
        <f>_xlfn.XLOOKUP($B60,'Raw Data'!$E39:$E209,'Raw Data'!$G39:$G209,"")</f>
        <v>69.3</v>
      </c>
      <c r="E60" s="3">
        <f>_xlfn.XLOOKUP($B60,'Raw Data'!$I60:$I251,'Raw Data'!$K60:$K251,"")</f>
        <v>282.55</v>
      </c>
      <c r="F60" s="3">
        <f>_xlfn.XLOOKUP($B60,'Raw Data'!$M60:$M251,'Raw Data'!$O60:$O251,"")</f>
        <v>1852.5</v>
      </c>
      <c r="G60" s="3">
        <f>_xlfn.XLOOKUP($B60,'Raw Data'!$Q60:$Q251,'Raw Data'!$S60:$S251,"")</f>
        <v>0.8175</v>
      </c>
      <c r="H60" s="3">
        <f>_xlfn.XLOOKUP($B60,'Raw Data'!$U60:$U251,'Raw Data'!$W60:$W251,"")</f>
        <v>2058.9</v>
      </c>
      <c r="I60" s="3">
        <f>_xlfn.XLOOKUP($B60,'Raw Data'!$AG48:$AG227,'Raw Data'!$AI48:$AI227,"")</f>
        <v>55.7</v>
      </c>
    </row>
    <row r="61" spans="2:9" x14ac:dyDescent="0.25">
      <c r="B61" s="1">
        <v>42035</v>
      </c>
      <c r="C61" s="3">
        <f>_xlfn.XLOOKUP($B61,'Raw Data'!$A61:$A252,'Raw Data'!$C61:$C252,0)</f>
        <v>50.2042</v>
      </c>
      <c r="D61" s="3">
        <f>_xlfn.XLOOKUP($B61,'Raw Data'!$E40:$E210,'Raw Data'!$G40:$G210,"")</f>
        <v>64.2</v>
      </c>
      <c r="E61" s="3">
        <f>_xlfn.XLOOKUP($B61,'Raw Data'!$I61:$I252,'Raw Data'!$K61:$K252,"")</f>
        <v>249.45</v>
      </c>
      <c r="F61" s="3">
        <f>_xlfn.XLOOKUP($B61,'Raw Data'!$M61:$M252,'Raw Data'!$O61:$O252,"")</f>
        <v>1864</v>
      </c>
      <c r="G61" s="3">
        <f>_xlfn.XLOOKUP($B61,'Raw Data'!$Q61:$Q252,'Raw Data'!$S61:$S252,"")</f>
        <v>0.7762</v>
      </c>
      <c r="H61" s="3">
        <f>_xlfn.XLOOKUP($B61,'Raw Data'!$U61:$U252,'Raw Data'!$W61:$W252,"")</f>
        <v>1994.99</v>
      </c>
      <c r="I61" s="3">
        <f>_xlfn.XLOOKUP($B61,'Raw Data'!$AG49:$AG228,'Raw Data'!$AI49:$AI228,"")</f>
        <v>53.9</v>
      </c>
    </row>
    <row r="62" spans="2:9" x14ac:dyDescent="0.25">
      <c r="B62" s="1">
        <v>42063</v>
      </c>
      <c r="C62" s="3">
        <f>_xlfn.XLOOKUP($B62,'Raw Data'!$A62:$A253,'Raw Data'!$C62:$C253,0)</f>
        <v>56.119900000000001</v>
      </c>
      <c r="D62" s="3">
        <f>_xlfn.XLOOKUP($B62,'Raw Data'!$E41:$E211,'Raw Data'!$G41:$G211,"")</f>
        <v>64.2</v>
      </c>
      <c r="E62" s="3">
        <f>_xlfn.XLOOKUP($B62,'Raw Data'!$I62:$I253,'Raw Data'!$K62:$K253,"")</f>
        <v>271.60000000000002</v>
      </c>
      <c r="F62" s="3">
        <f>_xlfn.XLOOKUP($B62,'Raw Data'!$M62:$M253,'Raw Data'!$O62:$O253,"")</f>
        <v>1815</v>
      </c>
      <c r="G62" s="3">
        <f>_xlfn.XLOOKUP($B62,'Raw Data'!$Q62:$Q253,'Raw Data'!$S62:$S253,"")</f>
        <v>0.78080000000000005</v>
      </c>
      <c r="H62" s="3">
        <f>_xlfn.XLOOKUP($B62,'Raw Data'!$U62:$U253,'Raw Data'!$W62:$W253,"")</f>
        <v>2104.5</v>
      </c>
      <c r="I62" s="3">
        <f>_xlfn.XLOOKUP($B62,'Raw Data'!$AG50:$AG229,'Raw Data'!$AI50:$AI229,"")</f>
        <v>53</v>
      </c>
    </row>
    <row r="63" spans="2:9" x14ac:dyDescent="0.25">
      <c r="B63" s="1">
        <v>42094</v>
      </c>
      <c r="C63" s="3">
        <f>_xlfn.XLOOKUP($B63,'Raw Data'!$A63:$A254,'Raw Data'!$C63:$C254,0)</f>
        <v>48.2806</v>
      </c>
      <c r="D63" s="3">
        <f>_xlfn.XLOOKUP($B63,'Raw Data'!$E42:$E212,'Raw Data'!$G42:$G212,"")</f>
        <v>54.8</v>
      </c>
      <c r="E63" s="3">
        <f>_xlfn.XLOOKUP($B63,'Raw Data'!$I63:$I254,'Raw Data'!$K63:$K254,"")</f>
        <v>274</v>
      </c>
      <c r="F63" s="3">
        <f>_xlfn.XLOOKUP($B63,'Raw Data'!$M63:$M254,'Raw Data'!$O63:$O254,"")</f>
        <v>1785</v>
      </c>
      <c r="G63" s="3">
        <f>_xlfn.XLOOKUP($B63,'Raw Data'!$Q63:$Q254,'Raw Data'!$S63:$S254,"")</f>
        <v>0.76070000000000004</v>
      </c>
      <c r="H63" s="3">
        <f>_xlfn.XLOOKUP($B63,'Raw Data'!$U63:$U254,'Raw Data'!$W63:$W254,"")</f>
        <v>2067.89</v>
      </c>
      <c r="I63" s="3">
        <f>_xlfn.XLOOKUP($B63,'Raw Data'!$AG51:$AG230,'Raw Data'!$AI51:$AI230,"")</f>
        <v>52.1</v>
      </c>
    </row>
    <row r="64" spans="2:9" x14ac:dyDescent="0.25">
      <c r="B64" s="1">
        <v>42124</v>
      </c>
      <c r="C64" s="3">
        <f>_xlfn.XLOOKUP($B64,'Raw Data'!$A64:$A255,'Raw Data'!$C64:$C255,0)</f>
        <v>52.234000000000002</v>
      </c>
      <c r="D64" s="3">
        <f>_xlfn.XLOOKUP($B64,'Raw Data'!$E43:$E213,'Raw Data'!$G43:$G213,"")</f>
        <v>57.9</v>
      </c>
      <c r="E64" s="3">
        <f>_xlfn.XLOOKUP($B64,'Raw Data'!$I64:$I255,'Raw Data'!$K64:$K255,"")</f>
        <v>288.64999999999998</v>
      </c>
      <c r="F64" s="3">
        <f>_xlfn.XLOOKUP($B64,'Raw Data'!$M64:$M255,'Raw Data'!$O64:$O255,"")</f>
        <v>1925</v>
      </c>
      <c r="G64" s="3">
        <f>_xlfn.XLOOKUP($B64,'Raw Data'!$Q64:$Q255,'Raw Data'!$S64:$S255,"")</f>
        <v>0.79049999999999998</v>
      </c>
      <c r="H64" s="3">
        <f>_xlfn.XLOOKUP($B64,'Raw Data'!$U64:$U255,'Raw Data'!$W64:$W255,"")</f>
        <v>2085.5100000000002</v>
      </c>
      <c r="I64" s="3">
        <f>_xlfn.XLOOKUP($B64,'Raw Data'!$AG52:$AG231,'Raw Data'!$AI52:$AI231,"")</f>
        <v>51.9</v>
      </c>
    </row>
    <row r="65" spans="2:9" x14ac:dyDescent="0.25">
      <c r="B65" s="1">
        <v>42155</v>
      </c>
      <c r="C65" s="3">
        <f>_xlfn.XLOOKUP($B65,'Raw Data'!$A65:$A256,'Raw Data'!$C65:$C256,0)</f>
        <v>51.044499999999999</v>
      </c>
      <c r="D65" s="3">
        <f>_xlfn.XLOOKUP($B65,'Raw Data'!$E44:$E214,'Raw Data'!$G44:$G214,"")</f>
        <v>61.1</v>
      </c>
      <c r="E65" s="3">
        <f>_xlfn.XLOOKUP($B65,'Raw Data'!$I65:$I256,'Raw Data'!$K65:$K256,"")</f>
        <v>272.8</v>
      </c>
      <c r="F65" s="3">
        <f>_xlfn.XLOOKUP($B65,'Raw Data'!$M65:$M256,'Raw Data'!$O65:$O256,"")</f>
        <v>1740</v>
      </c>
      <c r="G65" s="3">
        <f>_xlfn.XLOOKUP($B65,'Raw Data'!$Q65:$Q256,'Raw Data'!$S65:$S256,"")</f>
        <v>0.76449999999999996</v>
      </c>
      <c r="H65" s="3">
        <f>_xlfn.XLOOKUP($B65,'Raw Data'!$U65:$U256,'Raw Data'!$W65:$W256,"")</f>
        <v>2107.39</v>
      </c>
      <c r="I65" s="3">
        <f>_xlfn.XLOOKUP($B65,'Raw Data'!$AG53:$AG232,'Raw Data'!$AI53:$AI232,"")</f>
        <v>52.9</v>
      </c>
    </row>
    <row r="66" spans="2:9" x14ac:dyDescent="0.25">
      <c r="B66" s="1">
        <v>42185</v>
      </c>
      <c r="C66" s="3">
        <f>_xlfn.XLOOKUP($B66,'Raw Data'!$A66:$A257,'Raw Data'!$C66:$C257,0)</f>
        <v>48.058999999999997</v>
      </c>
      <c r="D66" s="3">
        <f>_xlfn.XLOOKUP($B66,'Raw Data'!$E45:$E215,'Raw Data'!$G45:$G215,"")</f>
        <v>61.5</v>
      </c>
      <c r="E66" s="3">
        <f>_xlfn.XLOOKUP($B66,'Raw Data'!$I66:$I257,'Raw Data'!$K66:$K257,"")</f>
        <v>262.35000000000002</v>
      </c>
      <c r="F66" s="3">
        <f>_xlfn.XLOOKUP($B66,'Raw Data'!$M66:$M257,'Raw Data'!$O66:$O257,"")</f>
        <v>1691</v>
      </c>
      <c r="G66" s="3">
        <f>_xlfn.XLOOKUP($B66,'Raw Data'!$Q66:$Q257,'Raw Data'!$S66:$S257,"")</f>
        <v>0.77070000000000005</v>
      </c>
      <c r="H66" s="3">
        <f>_xlfn.XLOOKUP($B66,'Raw Data'!$U66:$U257,'Raw Data'!$W66:$W257,"")</f>
        <v>2063.11</v>
      </c>
      <c r="I66" s="3">
        <f>_xlfn.XLOOKUP($B66,'Raw Data'!$AG54:$AG233,'Raw Data'!$AI54:$AI233,"")</f>
        <v>52.5</v>
      </c>
    </row>
    <row r="67" spans="2:9" x14ac:dyDescent="0.25">
      <c r="B67" s="1">
        <v>42216</v>
      </c>
      <c r="C67" s="3">
        <f>_xlfn.XLOOKUP($B67,'Raw Data'!$A67:$A258,'Raw Data'!$C67:$C258,0)</f>
        <v>45.038499999999999</v>
      </c>
      <c r="D67" s="3">
        <f>_xlfn.XLOOKUP($B67,'Raw Data'!$E46:$E216,'Raw Data'!$G46:$G216,"")</f>
        <v>54.9</v>
      </c>
      <c r="E67" s="3">
        <f>_xlfn.XLOOKUP($B67,'Raw Data'!$I67:$I258,'Raw Data'!$K67:$K258,"")</f>
        <v>236.35</v>
      </c>
      <c r="F67" s="3">
        <f>_xlfn.XLOOKUP($B67,'Raw Data'!$M67:$M258,'Raw Data'!$O67:$O258,"")</f>
        <v>1618</v>
      </c>
      <c r="G67" s="3">
        <f>_xlfn.XLOOKUP($B67,'Raw Data'!$Q67:$Q258,'Raw Data'!$S67:$S258,"")</f>
        <v>0.73080000000000001</v>
      </c>
      <c r="H67" s="3">
        <f>_xlfn.XLOOKUP($B67,'Raw Data'!$U67:$U258,'Raw Data'!$W67:$W258,"")</f>
        <v>2103.84</v>
      </c>
      <c r="I67" s="3">
        <f>_xlfn.XLOOKUP($B67,'Raw Data'!$AG55:$AG234,'Raw Data'!$AI55:$AI234,"")</f>
        <v>52</v>
      </c>
    </row>
    <row r="68" spans="2:9" x14ac:dyDescent="0.25">
      <c r="B68" s="1">
        <v>42247</v>
      </c>
      <c r="C68" s="3">
        <f>_xlfn.XLOOKUP($B68,'Raw Data'!$A68:$A259,'Raw Data'!$C68:$C259,0)</f>
        <v>43.966500000000003</v>
      </c>
      <c r="D68" s="3">
        <f>_xlfn.XLOOKUP($B68,'Raw Data'!$E47:$E217,'Raw Data'!$G47:$G217,"")</f>
        <v>56.3</v>
      </c>
      <c r="E68" s="3">
        <f>_xlfn.XLOOKUP($B68,'Raw Data'!$I68:$I259,'Raw Data'!$K68:$K259,"")</f>
        <v>233.8</v>
      </c>
      <c r="F68" s="3">
        <f>_xlfn.XLOOKUP($B68,'Raw Data'!$M68:$M259,'Raw Data'!$O68:$O259,"")</f>
        <v>1603</v>
      </c>
      <c r="G68" s="3">
        <f>_xlfn.XLOOKUP($B68,'Raw Data'!$Q68:$Q259,'Raw Data'!$S68:$S259,"")</f>
        <v>0.71130000000000004</v>
      </c>
      <c r="H68" s="3">
        <f>_xlfn.XLOOKUP($B68,'Raw Data'!$U68:$U259,'Raw Data'!$W68:$W259,"")</f>
        <v>1972.18</v>
      </c>
      <c r="I68" s="3">
        <f>_xlfn.XLOOKUP($B68,'Raw Data'!$AG56:$AG235,'Raw Data'!$AI56:$AI235,"")</f>
        <v>50.2</v>
      </c>
    </row>
    <row r="69" spans="2:9" x14ac:dyDescent="0.25">
      <c r="B69" s="1">
        <v>42277</v>
      </c>
      <c r="C69" s="3">
        <f>_xlfn.XLOOKUP($B69,'Raw Data'!$A69:$A260,'Raw Data'!$C69:$C260,0)</f>
        <v>40.494199999999999</v>
      </c>
      <c r="D69" s="3">
        <f>_xlfn.XLOOKUP($B69,'Raw Data'!$E48:$E218,'Raw Data'!$G48:$G218,"")</f>
        <v>57.2</v>
      </c>
      <c r="E69" s="3">
        <f>_xlfn.XLOOKUP($B69,'Raw Data'!$I69:$I260,'Raw Data'!$K69:$K260,"")</f>
        <v>234.1</v>
      </c>
      <c r="F69" s="3">
        <f>_xlfn.XLOOKUP($B69,'Raw Data'!$M69:$M260,'Raw Data'!$O69:$O260,"")</f>
        <v>1577</v>
      </c>
      <c r="G69" s="3">
        <f>_xlfn.XLOOKUP($B69,'Raw Data'!$Q69:$Q260,'Raw Data'!$S69:$S260,"")</f>
        <v>0.70179999999999998</v>
      </c>
      <c r="H69" s="3">
        <f>_xlfn.XLOOKUP($B69,'Raw Data'!$U69:$U260,'Raw Data'!$W69:$W260,"")</f>
        <v>1920.03</v>
      </c>
      <c r="I69" s="3">
        <f>_xlfn.XLOOKUP($B69,'Raw Data'!$AG57:$AG236,'Raw Data'!$AI57:$AI236,"")</f>
        <v>50.1</v>
      </c>
    </row>
    <row r="70" spans="2:9" x14ac:dyDescent="0.25">
      <c r="B70" s="1">
        <v>42308</v>
      </c>
      <c r="C70" s="3">
        <f>_xlfn.XLOOKUP($B70,'Raw Data'!$A70:$A261,'Raw Data'!$C70:$C261,0)</f>
        <v>43.7151</v>
      </c>
      <c r="D70" s="3">
        <f>_xlfn.XLOOKUP($B70,'Raw Data'!$E49:$E219,'Raw Data'!$G49:$G219,"")</f>
        <v>50.6</v>
      </c>
      <c r="E70" s="3">
        <f>_xlfn.XLOOKUP($B70,'Raw Data'!$I70:$I261,'Raw Data'!$K70:$K261,"")</f>
        <v>231.75</v>
      </c>
      <c r="F70" s="3">
        <f>_xlfn.XLOOKUP($B70,'Raw Data'!$M70:$M261,'Raw Data'!$O70:$O261,"")</f>
        <v>1478.5</v>
      </c>
      <c r="G70" s="3">
        <f>_xlfn.XLOOKUP($B70,'Raw Data'!$Q70:$Q261,'Raw Data'!$S70:$S261,"")</f>
        <v>0.71379999999999999</v>
      </c>
      <c r="H70" s="3">
        <f>_xlfn.XLOOKUP($B70,'Raw Data'!$U70:$U261,'Raw Data'!$W70:$W261,"")</f>
        <v>2079.36</v>
      </c>
      <c r="I70" s="3">
        <f>_xlfn.XLOOKUP($B70,'Raw Data'!$AG58:$AG237,'Raw Data'!$AI58:$AI237,"")</f>
        <v>49.1</v>
      </c>
    </row>
    <row r="71" spans="2:9" x14ac:dyDescent="0.25">
      <c r="B71" s="1">
        <v>42338</v>
      </c>
      <c r="C71" s="3">
        <f>_xlfn.XLOOKUP($B71,'Raw Data'!$A71:$A262,'Raw Data'!$C71:$C262,0)</f>
        <v>39.608199999999997</v>
      </c>
      <c r="D71" s="3">
        <f>_xlfn.XLOOKUP($B71,'Raw Data'!$E50:$E220,'Raw Data'!$G50:$G220,"")</f>
        <v>43.3</v>
      </c>
      <c r="E71" s="3">
        <f>_xlfn.XLOOKUP($B71,'Raw Data'!$I71:$I262,'Raw Data'!$K71:$K262,"")</f>
        <v>204.45</v>
      </c>
      <c r="F71" s="3">
        <f>_xlfn.XLOOKUP($B71,'Raw Data'!$M71:$M262,'Raw Data'!$O71:$O262,"")</f>
        <v>1446</v>
      </c>
      <c r="G71" s="3">
        <f>_xlfn.XLOOKUP($B71,'Raw Data'!$Q71:$Q262,'Raw Data'!$S71:$S262,"")</f>
        <v>0.72270000000000001</v>
      </c>
      <c r="H71" s="3">
        <f>_xlfn.XLOOKUP($B71,'Raw Data'!$U71:$U262,'Raw Data'!$W71:$W262,"")</f>
        <v>2080.41</v>
      </c>
      <c r="I71" s="3">
        <f>_xlfn.XLOOKUP($B71,'Raw Data'!$AG59:$AG238,'Raw Data'!$AI59:$AI238,"")</f>
        <v>49.1</v>
      </c>
    </row>
    <row r="72" spans="2:9" x14ac:dyDescent="0.25">
      <c r="B72" s="1">
        <v>42369</v>
      </c>
      <c r="C72" s="3">
        <f>_xlfn.XLOOKUP($B72,'Raw Data'!$A72:$A263,'Raw Data'!$C72:$C263,0)</f>
        <v>34.866700000000002</v>
      </c>
      <c r="D72" s="3">
        <f>_xlfn.XLOOKUP($B72,'Raw Data'!$E51:$E221,'Raw Data'!$G51:$G221,"")</f>
        <v>43.4</v>
      </c>
      <c r="E72" s="3">
        <f>_xlfn.XLOOKUP($B72,'Raw Data'!$I72:$I263,'Raw Data'!$K72:$K263,"")</f>
        <v>213.5</v>
      </c>
      <c r="F72" s="3">
        <f>_xlfn.XLOOKUP($B72,'Raw Data'!$M72:$M263,'Raw Data'!$O72:$O263,"")</f>
        <v>1507</v>
      </c>
      <c r="G72" s="3">
        <f>_xlfn.XLOOKUP($B72,'Raw Data'!$Q72:$Q263,'Raw Data'!$S72:$S263,"")</f>
        <v>0.72860000000000003</v>
      </c>
      <c r="H72" s="3">
        <f>_xlfn.XLOOKUP($B72,'Raw Data'!$U72:$U263,'Raw Data'!$W72:$W263,"")</f>
        <v>2043.94</v>
      </c>
      <c r="I72" s="3">
        <f>_xlfn.XLOOKUP($B72,'Raw Data'!$AG60:$AG239,'Raw Data'!$AI60:$AI239,"")</f>
        <v>48.7</v>
      </c>
    </row>
    <row r="73" spans="2:9" x14ac:dyDescent="0.25">
      <c r="B73" s="1">
        <v>42400</v>
      </c>
      <c r="C73" s="3">
        <f>_xlfn.XLOOKUP($B73,'Raw Data'!$A73:$A264,'Raw Data'!$C73:$C264,0)</f>
        <v>29.514500000000002</v>
      </c>
      <c r="D73" s="3">
        <f>_xlfn.XLOOKUP($B73,'Raw Data'!$E52:$E222,'Raw Data'!$G52:$G222,"")</f>
        <v>41.4</v>
      </c>
      <c r="E73" s="3">
        <f>_xlfn.XLOOKUP($B73,'Raw Data'!$I73:$I264,'Raw Data'!$K73:$K264,"")</f>
        <v>206.7</v>
      </c>
      <c r="F73" s="3">
        <f>_xlfn.XLOOKUP($B73,'Raw Data'!$M73:$M264,'Raw Data'!$O73:$O264,"")</f>
        <v>1519</v>
      </c>
      <c r="G73" s="3">
        <f>_xlfn.XLOOKUP($B73,'Raw Data'!$Q73:$Q264,'Raw Data'!$S73:$S264,"")</f>
        <v>0.70840000000000003</v>
      </c>
      <c r="H73" s="3">
        <f>_xlfn.XLOOKUP($B73,'Raw Data'!$U73:$U264,'Raw Data'!$W73:$W264,"")</f>
        <v>1940.24</v>
      </c>
      <c r="I73" s="3">
        <f>_xlfn.XLOOKUP($B73,'Raw Data'!$AG61:$AG240,'Raw Data'!$AI61:$AI240,"")</f>
        <v>47.6</v>
      </c>
    </row>
    <row r="74" spans="2:9" x14ac:dyDescent="0.25">
      <c r="B74" s="1">
        <v>42429</v>
      </c>
      <c r="C74" s="3">
        <f>_xlfn.XLOOKUP($B74,'Raw Data'!$A74:$A265,'Raw Data'!$C74:$C265,0)</f>
        <v>32.535200000000003</v>
      </c>
      <c r="D74" s="3">
        <f>_xlfn.XLOOKUP($B74,'Raw Data'!$E53:$E223,'Raw Data'!$G53:$G223,"")</f>
        <v>46.4</v>
      </c>
      <c r="E74" s="3">
        <f>_xlfn.XLOOKUP($B74,'Raw Data'!$I74:$I265,'Raw Data'!$K74:$K265,"")</f>
        <v>212.85</v>
      </c>
      <c r="F74" s="3">
        <f>_xlfn.XLOOKUP($B74,'Raw Data'!$M74:$M265,'Raw Data'!$O74:$O265,"")</f>
        <v>1573</v>
      </c>
      <c r="G74" s="3">
        <f>_xlfn.XLOOKUP($B74,'Raw Data'!$Q74:$Q265,'Raw Data'!$S74:$S265,"")</f>
        <v>0.71409999999999996</v>
      </c>
      <c r="H74" s="3">
        <f>_xlfn.XLOOKUP($B74,'Raw Data'!$U74:$U265,'Raw Data'!$W74:$W265,"")</f>
        <v>1932.23</v>
      </c>
      <c r="I74" s="3">
        <f>_xlfn.XLOOKUP($B74,'Raw Data'!$AG62:$AG241,'Raw Data'!$AI62:$AI241,"")</f>
        <v>49.2</v>
      </c>
    </row>
    <row r="75" spans="2:9" x14ac:dyDescent="0.25">
      <c r="B75" s="1">
        <v>42460</v>
      </c>
      <c r="C75" s="3">
        <f>_xlfn.XLOOKUP($B75,'Raw Data'!$A75:$A266,'Raw Data'!$C75:$C266,0)</f>
        <v>35.240200000000002</v>
      </c>
      <c r="D75" s="3">
        <f>_xlfn.XLOOKUP($B75,'Raw Data'!$E54:$E224,'Raw Data'!$G54:$G224,"")</f>
        <v>53.2</v>
      </c>
      <c r="E75" s="3">
        <f>_xlfn.XLOOKUP($B75,'Raw Data'!$I75:$I266,'Raw Data'!$K75:$K266,"")</f>
        <v>218.3</v>
      </c>
      <c r="F75" s="3">
        <f>_xlfn.XLOOKUP($B75,'Raw Data'!$M75:$M266,'Raw Data'!$O75:$O266,"")</f>
        <v>1520</v>
      </c>
      <c r="G75" s="3">
        <f>_xlfn.XLOOKUP($B75,'Raw Data'!$Q75:$Q266,'Raw Data'!$S75:$S266,"")</f>
        <v>0.76570000000000005</v>
      </c>
      <c r="H75" s="3">
        <f>_xlfn.XLOOKUP($B75,'Raw Data'!$U75:$U266,'Raw Data'!$W75:$W266,"")</f>
        <v>2059.7399999999998</v>
      </c>
      <c r="I75" s="3">
        <f>_xlfn.XLOOKUP($B75,'Raw Data'!$AG63:$AG242,'Raw Data'!$AI63:$AI242,"")</f>
        <v>51</v>
      </c>
    </row>
    <row r="76" spans="2:9" x14ac:dyDescent="0.25">
      <c r="B76" s="1">
        <v>42490</v>
      </c>
      <c r="C76" s="3">
        <f>_xlfn.XLOOKUP($B76,'Raw Data'!$A76:$A267,'Raw Data'!$C76:$C267,0)</f>
        <v>41.959099999999999</v>
      </c>
      <c r="D76" s="3">
        <f>_xlfn.XLOOKUP($B76,'Raw Data'!$E55:$E225,'Raw Data'!$G55:$G225,"")</f>
        <v>65.8</v>
      </c>
      <c r="E76" s="3">
        <f>_xlfn.XLOOKUP($B76,'Raw Data'!$I76:$I267,'Raw Data'!$K76:$K267,"")</f>
        <v>227.9</v>
      </c>
      <c r="F76" s="3">
        <f>_xlfn.XLOOKUP($B76,'Raw Data'!$M76:$M267,'Raw Data'!$O76:$O267,"")</f>
        <v>1679</v>
      </c>
      <c r="G76" s="3">
        <f>_xlfn.XLOOKUP($B76,'Raw Data'!$Q76:$Q267,'Raw Data'!$S76:$S267,"")</f>
        <v>0.76029999999999998</v>
      </c>
      <c r="H76" s="3">
        <f>_xlfn.XLOOKUP($B76,'Raw Data'!$U76:$U267,'Raw Data'!$W76:$W267,"")</f>
        <v>2065.3000000000002</v>
      </c>
      <c r="I76" s="3">
        <f>_xlfn.XLOOKUP($B76,'Raw Data'!$AG64:$AG243,'Raw Data'!$AI64:$AI243,"")</f>
        <v>51.3</v>
      </c>
    </row>
    <row r="77" spans="2:9" x14ac:dyDescent="0.25">
      <c r="B77" s="1">
        <v>42521</v>
      </c>
      <c r="C77" s="3">
        <f>_xlfn.XLOOKUP($B77,'Raw Data'!$A77:$A268,'Raw Data'!$C77:$C268,0)</f>
        <v>34.953499999999998</v>
      </c>
      <c r="D77" s="3">
        <f>_xlfn.XLOOKUP($B77,'Raw Data'!$E56:$E226,'Raw Data'!$G56:$G226,"")</f>
        <v>47.2</v>
      </c>
      <c r="E77" s="3">
        <f>_xlfn.XLOOKUP($B77,'Raw Data'!$I77:$I268,'Raw Data'!$K77:$K268,"")</f>
        <v>209.55</v>
      </c>
      <c r="F77" s="3">
        <f>_xlfn.XLOOKUP($B77,'Raw Data'!$M77:$M268,'Raw Data'!$O77:$O268,"")</f>
        <v>1556</v>
      </c>
      <c r="G77" s="3">
        <f>_xlfn.XLOOKUP($B77,'Raw Data'!$Q77:$Q268,'Raw Data'!$S77:$S268,"")</f>
        <v>0.72340000000000004</v>
      </c>
      <c r="H77" s="3">
        <f>_xlfn.XLOOKUP($B77,'Raw Data'!$U77:$U268,'Raw Data'!$W77:$W268,"")</f>
        <v>2096.96</v>
      </c>
      <c r="I77" s="3">
        <f>_xlfn.XLOOKUP($B77,'Raw Data'!$AG65:$AG244,'Raw Data'!$AI65:$AI244,"")</f>
        <v>51.4</v>
      </c>
    </row>
    <row r="78" spans="2:9" x14ac:dyDescent="0.25">
      <c r="B78" s="1">
        <v>42551</v>
      </c>
      <c r="C78" s="3">
        <f>_xlfn.XLOOKUP($B78,'Raw Data'!$A78:$A269,'Raw Data'!$C78:$C269,0)</f>
        <v>39.017299999999999</v>
      </c>
      <c r="D78" s="3">
        <f>_xlfn.XLOOKUP($B78,'Raw Data'!$E57:$E227,'Raw Data'!$G57:$G227,"")</f>
        <v>53.6</v>
      </c>
      <c r="E78" s="3">
        <f>_xlfn.XLOOKUP($B78,'Raw Data'!$I78:$I269,'Raw Data'!$K78:$K269,"")</f>
        <v>219.45</v>
      </c>
      <c r="F78" s="3">
        <f>_xlfn.XLOOKUP($B78,'Raw Data'!$M78:$M269,'Raw Data'!$O78:$O269,"")</f>
        <v>1649</v>
      </c>
      <c r="G78" s="3">
        <f>_xlfn.XLOOKUP($B78,'Raw Data'!$Q78:$Q269,'Raw Data'!$S78:$S269,"")</f>
        <v>0.74509999999999998</v>
      </c>
      <c r="H78" s="3">
        <f>_xlfn.XLOOKUP($B78,'Raw Data'!$U78:$U269,'Raw Data'!$W78:$W269,"")</f>
        <v>2098.86</v>
      </c>
      <c r="I78" s="3">
        <f>_xlfn.XLOOKUP($B78,'Raw Data'!$AG66:$AG245,'Raw Data'!$AI66:$AI245,"")</f>
        <v>52.2</v>
      </c>
    </row>
    <row r="79" spans="2:9" x14ac:dyDescent="0.25">
      <c r="B79" s="1">
        <v>42582</v>
      </c>
      <c r="C79" s="3">
        <f>_xlfn.XLOOKUP($B79,'Raw Data'!$A79:$A270,'Raw Data'!$C79:$C270,0)</f>
        <v>40.911999999999999</v>
      </c>
      <c r="D79" s="3">
        <f>_xlfn.XLOOKUP($B79,'Raw Data'!$E58:$E228,'Raw Data'!$G58:$G228,"")</f>
        <v>58.3</v>
      </c>
      <c r="E79" s="3">
        <f>_xlfn.XLOOKUP($B79,'Raw Data'!$I79:$I270,'Raw Data'!$K79:$K270,"")</f>
        <v>222.15</v>
      </c>
      <c r="F79" s="3">
        <f>_xlfn.XLOOKUP($B79,'Raw Data'!$M79:$M270,'Raw Data'!$O79:$O270,"")</f>
        <v>1644</v>
      </c>
      <c r="G79" s="3">
        <f>_xlfn.XLOOKUP($B79,'Raw Data'!$Q79:$Q270,'Raw Data'!$S79:$S270,"")</f>
        <v>0.75960000000000005</v>
      </c>
      <c r="H79" s="3">
        <f>_xlfn.XLOOKUP($B79,'Raw Data'!$U79:$U270,'Raw Data'!$W79:$W270,"")</f>
        <v>2173.6</v>
      </c>
      <c r="I79" s="3">
        <f>_xlfn.XLOOKUP($B79,'Raw Data'!$AG67:$AG246,'Raw Data'!$AI67:$AI246,"")</f>
        <v>52.7</v>
      </c>
    </row>
    <row r="80" spans="2:9" x14ac:dyDescent="0.25">
      <c r="B80" s="1">
        <v>42613</v>
      </c>
      <c r="C80" s="3">
        <f>_xlfn.XLOOKUP($B80,'Raw Data'!$A80:$A271,'Raw Data'!$C80:$C271,0)</f>
        <v>38.131599999999999</v>
      </c>
      <c r="D80" s="3">
        <f>_xlfn.XLOOKUP($B80,'Raw Data'!$E59:$E229,'Raw Data'!$G59:$G229,"")</f>
        <v>57.3</v>
      </c>
      <c r="E80" s="3">
        <f>_xlfn.XLOOKUP($B80,'Raw Data'!$I80:$I271,'Raw Data'!$K80:$K271,"")</f>
        <v>206.95</v>
      </c>
      <c r="F80" s="3">
        <f>_xlfn.XLOOKUP($B80,'Raw Data'!$M80:$M271,'Raw Data'!$O80:$O271,"")</f>
        <v>1614</v>
      </c>
      <c r="G80" s="3">
        <f>_xlfn.XLOOKUP($B80,'Raw Data'!$Q80:$Q271,'Raw Data'!$S80:$S271,"")</f>
        <v>0.75170000000000003</v>
      </c>
      <c r="H80" s="3">
        <f>_xlfn.XLOOKUP($B80,'Raw Data'!$U80:$U271,'Raw Data'!$W80:$W271,"")</f>
        <v>2170.9499999999998</v>
      </c>
      <c r="I80" s="3">
        <f>_xlfn.XLOOKUP($B80,'Raw Data'!$AG68:$AG247,'Raw Data'!$AI68:$AI247,"")</f>
        <v>49.8</v>
      </c>
    </row>
    <row r="81" spans="2:9" x14ac:dyDescent="0.25">
      <c r="B81" s="1">
        <v>42643</v>
      </c>
      <c r="C81" s="3">
        <f>_xlfn.XLOOKUP($B81,'Raw Data'!$A81:$A272,'Raw Data'!$C81:$C272,0)</f>
        <v>42.213900000000002</v>
      </c>
      <c r="D81" s="3">
        <f>_xlfn.XLOOKUP($B81,'Raw Data'!$E60:$E230,'Raw Data'!$G60:$G230,"")</f>
        <v>57.77</v>
      </c>
      <c r="E81" s="3">
        <f>_xlfn.XLOOKUP($B81,'Raw Data'!$I81:$I272,'Raw Data'!$K81:$K272,"")</f>
        <v>221.05</v>
      </c>
      <c r="F81" s="3">
        <f>_xlfn.XLOOKUP($B81,'Raw Data'!$M81:$M272,'Raw Data'!$O81:$O272,"")</f>
        <v>1673</v>
      </c>
      <c r="G81" s="3">
        <f>_xlfn.XLOOKUP($B81,'Raw Data'!$Q81:$Q272,'Raw Data'!$S81:$S272,"")</f>
        <v>0.76639999999999997</v>
      </c>
      <c r="H81" s="3">
        <f>_xlfn.XLOOKUP($B81,'Raw Data'!$U81:$U272,'Raw Data'!$W81:$W272,"")</f>
        <v>2168.27</v>
      </c>
      <c r="I81" s="3">
        <f>_xlfn.XLOOKUP($B81,'Raw Data'!$AG69:$AG248,'Raw Data'!$AI69:$AI248,"")</f>
        <v>51.1</v>
      </c>
    </row>
    <row r="82" spans="2:9" x14ac:dyDescent="0.25">
      <c r="B82" s="1">
        <v>42674</v>
      </c>
      <c r="C82" s="3">
        <f>_xlfn.XLOOKUP($B82,'Raw Data'!$A82:$A273,'Raw Data'!$C82:$C273,0)</f>
        <v>44.046599999999998</v>
      </c>
      <c r="D82" s="3">
        <f>_xlfn.XLOOKUP($B82,'Raw Data'!$E61:$E231,'Raw Data'!$G61:$G231,"")</f>
        <v>62.38</v>
      </c>
      <c r="E82" s="3">
        <f>_xlfn.XLOOKUP($B82,'Raw Data'!$I82:$I273,'Raw Data'!$K82:$K273,"")</f>
        <v>220.5</v>
      </c>
      <c r="F82" s="3">
        <f>_xlfn.XLOOKUP($B82,'Raw Data'!$M82:$M273,'Raw Data'!$O82:$O273,"")</f>
        <v>1734</v>
      </c>
      <c r="G82" s="3">
        <f>_xlfn.XLOOKUP($B82,'Raw Data'!$Q82:$Q273,'Raw Data'!$S82:$S273,"")</f>
        <v>0.76090000000000002</v>
      </c>
      <c r="H82" s="3">
        <f>_xlfn.XLOOKUP($B82,'Raw Data'!$U82:$U273,'Raw Data'!$W82:$W273,"")</f>
        <v>2126.15</v>
      </c>
      <c r="I82" s="3">
        <f>_xlfn.XLOOKUP($B82,'Raw Data'!$AG70:$AG249,'Raw Data'!$AI70:$AI249,"")</f>
        <v>51.8</v>
      </c>
    </row>
    <row r="83" spans="2:9" x14ac:dyDescent="0.25">
      <c r="B83" s="1">
        <v>42704</v>
      </c>
      <c r="C83" s="3">
        <f>_xlfn.XLOOKUP($B83,'Raw Data'!$A83:$A274,'Raw Data'!$C83:$C274,0)</f>
        <v>47.914099999999998</v>
      </c>
      <c r="D83" s="3">
        <f>_xlfn.XLOOKUP($B83,'Raw Data'!$E62:$E232,'Raw Data'!$G62:$G232,"")</f>
        <v>79.14</v>
      </c>
      <c r="E83" s="3">
        <f>_xlfn.XLOOKUP($B83,'Raw Data'!$I83:$I274,'Raw Data'!$K83:$K274,"")</f>
        <v>262.14999999999998</v>
      </c>
      <c r="F83" s="3">
        <f>_xlfn.XLOOKUP($B83,'Raw Data'!$M83:$M274,'Raw Data'!$O83:$O274,"")</f>
        <v>1732</v>
      </c>
      <c r="G83" s="3">
        <f>_xlfn.XLOOKUP($B83,'Raw Data'!$Q83:$Q274,'Raw Data'!$S83:$S274,"")</f>
        <v>0.73850000000000005</v>
      </c>
      <c r="H83" s="3">
        <f>_xlfn.XLOOKUP($B83,'Raw Data'!$U83:$U274,'Raw Data'!$W83:$W274,"")</f>
        <v>2198.81</v>
      </c>
      <c r="I83" s="3">
        <f>_xlfn.XLOOKUP($B83,'Raw Data'!$AG71:$AG250,'Raw Data'!$AI71:$AI250,"")</f>
        <v>53.2</v>
      </c>
    </row>
    <row r="84" spans="2:9" x14ac:dyDescent="0.25">
      <c r="B84" s="1">
        <v>42735</v>
      </c>
      <c r="C84" s="3">
        <f>_xlfn.XLOOKUP($B84,'Raw Data'!$A84:$A275,'Raw Data'!$C84:$C275,0)</f>
        <v>48.609200000000001</v>
      </c>
      <c r="D84" s="3">
        <f>_xlfn.XLOOKUP($B84,'Raw Data'!$E63:$E233,'Raw Data'!$G63:$G233,"")</f>
        <v>78.06</v>
      </c>
      <c r="E84" s="3">
        <f>_xlfn.XLOOKUP($B84,'Raw Data'!$I84:$I275,'Raw Data'!$K84:$K275,"")</f>
        <v>250.55</v>
      </c>
      <c r="F84" s="3">
        <f>_xlfn.XLOOKUP($B84,'Raw Data'!$M84:$M275,'Raw Data'!$O84:$O275,"")</f>
        <v>1693</v>
      </c>
      <c r="G84" s="3">
        <f>_xlfn.XLOOKUP($B84,'Raw Data'!$Q84:$Q275,'Raw Data'!$S84:$S275,"")</f>
        <v>0.7208</v>
      </c>
      <c r="H84" s="3">
        <f>_xlfn.XLOOKUP($B84,'Raw Data'!$U84:$U275,'Raw Data'!$W84:$W275,"")</f>
        <v>2238.83</v>
      </c>
      <c r="I84" s="3">
        <f>_xlfn.XLOOKUP($B84,'Raw Data'!$AG72:$AG251,'Raw Data'!$AI72:$AI251,"")</f>
        <v>54.4</v>
      </c>
    </row>
    <row r="85" spans="2:9" x14ac:dyDescent="0.25">
      <c r="B85" s="1">
        <v>42766</v>
      </c>
      <c r="C85" s="3">
        <f>_xlfn.XLOOKUP($B85,'Raw Data'!$A85:$A276,'Raw Data'!$C85:$C276,0)</f>
        <v>56.6096</v>
      </c>
      <c r="D85" s="3">
        <f>_xlfn.XLOOKUP($B85,'Raw Data'!$E64:$E234,'Raw Data'!$G64:$G234,"")</f>
        <v>83.44</v>
      </c>
      <c r="E85" s="3">
        <f>_xlfn.XLOOKUP($B85,'Raw Data'!$I85:$I276,'Raw Data'!$K85:$K276,"")</f>
        <v>272.75</v>
      </c>
      <c r="F85" s="3">
        <f>_xlfn.XLOOKUP($B85,'Raw Data'!$M85:$M276,'Raw Data'!$O85:$O276,"")</f>
        <v>1819</v>
      </c>
      <c r="G85" s="3">
        <f>_xlfn.XLOOKUP($B85,'Raw Data'!$Q85:$Q276,'Raw Data'!$S85:$S276,"")</f>
        <v>0.75849999999999995</v>
      </c>
      <c r="H85" s="3">
        <f>_xlfn.XLOOKUP($B85,'Raw Data'!$U85:$U276,'Raw Data'!$W85:$W276,"")</f>
        <v>2278.87</v>
      </c>
      <c r="I85" s="3">
        <f>_xlfn.XLOOKUP($B85,'Raw Data'!$AG73:$AG252,'Raw Data'!$AI73:$AI252,"")</f>
        <v>55.7</v>
      </c>
    </row>
    <row r="86" spans="2:9" x14ac:dyDescent="0.25">
      <c r="B86" s="1">
        <v>42794</v>
      </c>
      <c r="C86" s="3">
        <f>_xlfn.XLOOKUP($B86,'Raw Data'!$A86:$A277,'Raw Data'!$C86:$C277,0)</f>
        <v>53.9634</v>
      </c>
      <c r="D86" s="3">
        <f>_xlfn.XLOOKUP($B86,'Raw Data'!$E65:$E235,'Raw Data'!$G65:$G235,"")</f>
        <v>92.46</v>
      </c>
      <c r="E86" s="3">
        <f>_xlfn.XLOOKUP($B86,'Raw Data'!$I86:$I277,'Raw Data'!$K86:$K277,"")</f>
        <v>270.39999999999998</v>
      </c>
      <c r="F86" s="3">
        <f>_xlfn.XLOOKUP($B86,'Raw Data'!$M86:$M277,'Raw Data'!$O86:$O277,"")</f>
        <v>1924</v>
      </c>
      <c r="G86" s="3">
        <f>_xlfn.XLOOKUP($B86,'Raw Data'!$Q86:$Q277,'Raw Data'!$S86:$S277,"")</f>
        <v>0.76570000000000005</v>
      </c>
      <c r="H86" s="3">
        <f>_xlfn.XLOOKUP($B86,'Raw Data'!$U86:$U277,'Raw Data'!$W86:$W277,"")</f>
        <v>2363.64</v>
      </c>
      <c r="I86" s="3">
        <f>_xlfn.XLOOKUP($B86,'Raw Data'!$AG74:$AG253,'Raw Data'!$AI74:$AI253,"")</f>
        <v>57.7</v>
      </c>
    </row>
    <row r="87" spans="2:9" x14ac:dyDescent="0.25">
      <c r="B87" s="1">
        <v>42825</v>
      </c>
      <c r="C87" s="3">
        <f>_xlfn.XLOOKUP($B87,'Raw Data'!$A87:$A278,'Raw Data'!$C87:$C278,0)</f>
        <v>52.871699999999997</v>
      </c>
      <c r="D87" s="3">
        <f>_xlfn.XLOOKUP($B87,'Raw Data'!$E66:$E236,'Raw Data'!$G66:$G236,"")</f>
        <v>80.209999999999994</v>
      </c>
      <c r="E87" s="3">
        <f>_xlfn.XLOOKUP($B87,'Raw Data'!$I87:$I278,'Raw Data'!$K87:$K278,"")</f>
        <v>265.25</v>
      </c>
      <c r="F87" s="3">
        <f>_xlfn.XLOOKUP($B87,'Raw Data'!$M87:$M278,'Raw Data'!$O87:$O278,"")</f>
        <v>1962.5</v>
      </c>
      <c r="G87" s="3">
        <f>_xlfn.XLOOKUP($B87,'Raw Data'!$Q87:$Q278,'Raw Data'!$S87:$S278,"")</f>
        <v>0.76290000000000002</v>
      </c>
      <c r="H87" s="3">
        <f>_xlfn.XLOOKUP($B87,'Raw Data'!$U87:$U278,'Raw Data'!$W87:$W278,"")</f>
        <v>2362.7199999999998</v>
      </c>
      <c r="I87" s="3">
        <f>_xlfn.XLOOKUP($B87,'Raw Data'!$AG75:$AG254,'Raw Data'!$AI75:$AI254,"")</f>
        <v>56.5</v>
      </c>
    </row>
    <row r="88" spans="2:9" x14ac:dyDescent="0.25">
      <c r="B88" s="1">
        <v>42855</v>
      </c>
      <c r="C88" s="3">
        <f>_xlfn.XLOOKUP($B88,'Raw Data'!$A88:$A279,'Raw Data'!$C88:$C279,0)</f>
        <v>51.753999999999998</v>
      </c>
      <c r="D88" s="3">
        <f>_xlfn.XLOOKUP($B88,'Raw Data'!$E67:$E237,'Raw Data'!$G67:$G237,"")</f>
        <v>65.510000000000005</v>
      </c>
      <c r="E88" s="3">
        <f>_xlfn.XLOOKUP($B88,'Raw Data'!$I88:$I279,'Raw Data'!$K88:$K279,"")</f>
        <v>259.64999999999998</v>
      </c>
      <c r="F88" s="3">
        <f>_xlfn.XLOOKUP($B88,'Raw Data'!$M88:$M279,'Raw Data'!$O88:$O279,"")</f>
        <v>1911.5</v>
      </c>
      <c r="G88" s="3">
        <f>_xlfn.XLOOKUP($B88,'Raw Data'!$Q88:$Q279,'Raw Data'!$S88:$S279,"")</f>
        <v>0.74880000000000002</v>
      </c>
      <c r="H88" s="3">
        <f>_xlfn.XLOOKUP($B88,'Raw Data'!$U88:$U279,'Raw Data'!$W88:$W279,"")</f>
        <v>2384.1999999999998</v>
      </c>
      <c r="I88" s="3">
        <f>_xlfn.XLOOKUP($B88,'Raw Data'!$AG76:$AG255,'Raw Data'!$AI76:$AI255,"")</f>
        <v>55.8</v>
      </c>
    </row>
    <row r="89" spans="2:9" x14ac:dyDescent="0.25">
      <c r="B89" s="1">
        <v>42886</v>
      </c>
      <c r="C89" s="3">
        <f>_xlfn.XLOOKUP($B89,'Raw Data'!$A89:$A280,'Raw Data'!$C89:$C280,0)</f>
        <v>52.390799999999999</v>
      </c>
      <c r="D89" s="3">
        <f>_xlfn.XLOOKUP($B89,'Raw Data'!$E68:$E238,'Raw Data'!$G68:$G238,"")</f>
        <v>56.07</v>
      </c>
      <c r="E89" s="3">
        <f>_xlfn.XLOOKUP($B89,'Raw Data'!$I89:$I280,'Raw Data'!$K89:$K280,"")</f>
        <v>258</v>
      </c>
      <c r="F89" s="3">
        <f>_xlfn.XLOOKUP($B89,'Raw Data'!$M89:$M280,'Raw Data'!$O89:$O280,"")</f>
        <v>1928</v>
      </c>
      <c r="G89" s="3">
        <f>_xlfn.XLOOKUP($B89,'Raw Data'!$Q89:$Q280,'Raw Data'!$S89:$S280,"")</f>
        <v>0.74299999999999999</v>
      </c>
      <c r="H89" s="3">
        <f>_xlfn.XLOOKUP($B89,'Raw Data'!$U89:$U280,'Raw Data'!$W89:$W280,"")</f>
        <v>2411.8000000000002</v>
      </c>
      <c r="I89" s="3">
        <f>_xlfn.XLOOKUP($B89,'Raw Data'!$AG77:$AG256,'Raw Data'!$AI77:$AI256,"")</f>
        <v>56.4</v>
      </c>
    </row>
    <row r="90" spans="2:9" x14ac:dyDescent="0.25">
      <c r="B90" s="1">
        <v>42916</v>
      </c>
      <c r="C90" s="3">
        <f>_xlfn.XLOOKUP($B90,'Raw Data'!$A90:$A281,'Raw Data'!$C90:$C281,0)</f>
        <v>54.990200000000002</v>
      </c>
      <c r="D90" s="3">
        <f>_xlfn.XLOOKUP($B90,'Raw Data'!$E69:$E239,'Raw Data'!$G69:$G239,"")</f>
        <v>61.61</v>
      </c>
      <c r="E90" s="3">
        <f>_xlfn.XLOOKUP($B90,'Raw Data'!$I90:$I281,'Raw Data'!$K90:$K281,"")</f>
        <v>269.89999999999998</v>
      </c>
      <c r="F90" s="3">
        <f>_xlfn.XLOOKUP($B90,'Raw Data'!$M90:$M281,'Raw Data'!$O90:$O281,"")</f>
        <v>1919</v>
      </c>
      <c r="G90" s="3">
        <f>_xlfn.XLOOKUP($B90,'Raw Data'!$Q90:$Q281,'Raw Data'!$S90:$S281,"")</f>
        <v>0.76890000000000003</v>
      </c>
      <c r="H90" s="3">
        <f>_xlfn.XLOOKUP($B90,'Raw Data'!$U90:$U281,'Raw Data'!$W90:$W281,"")</f>
        <v>2423.41</v>
      </c>
      <c r="I90" s="3">
        <f>_xlfn.XLOOKUP($B90,'Raw Data'!$AG78:$AG257,'Raw Data'!$AI78:$AI257,"")</f>
        <v>56.2</v>
      </c>
    </row>
    <row r="91" spans="2:9" x14ac:dyDescent="0.25">
      <c r="B91" s="1">
        <v>42947</v>
      </c>
      <c r="C91" s="3">
        <f>_xlfn.XLOOKUP($B91,'Raw Data'!$A91:$A282,'Raw Data'!$C91:$C282,0)</f>
        <v>61.579700000000003</v>
      </c>
      <c r="D91" s="3">
        <f>_xlfn.XLOOKUP($B91,'Raw Data'!$E70:$E240,'Raw Data'!$G70:$G240,"")</f>
        <v>73.06</v>
      </c>
      <c r="E91" s="3">
        <f>_xlfn.XLOOKUP($B91,'Raw Data'!$I91:$I282,'Raw Data'!$K91:$K282,"")</f>
        <v>289.14999999999998</v>
      </c>
      <c r="F91" s="3">
        <f>_xlfn.XLOOKUP($B91,'Raw Data'!$M91:$M282,'Raw Data'!$O91:$O282,"")</f>
        <v>1918</v>
      </c>
      <c r="G91" s="3">
        <f>_xlfn.XLOOKUP($B91,'Raw Data'!$Q91:$Q282,'Raw Data'!$S91:$S282,"")</f>
        <v>0.80030000000000001</v>
      </c>
      <c r="H91" s="3">
        <f>_xlfn.XLOOKUP($B91,'Raw Data'!$U91:$U282,'Raw Data'!$W91:$W282,"")</f>
        <v>2470.3000000000002</v>
      </c>
      <c r="I91" s="3">
        <f>_xlfn.XLOOKUP($B91,'Raw Data'!$AG79:$AG258,'Raw Data'!$AI79:$AI258,"")</f>
        <v>56.5</v>
      </c>
    </row>
    <row r="92" spans="2:9" x14ac:dyDescent="0.25">
      <c r="B92" s="1">
        <v>42978</v>
      </c>
      <c r="C92" s="3">
        <f>_xlfn.XLOOKUP($B92,'Raw Data'!$A92:$A283,'Raw Data'!$C92:$C283,0)</f>
        <v>65.322900000000004</v>
      </c>
      <c r="D92" s="3">
        <f>_xlfn.XLOOKUP($B92,'Raw Data'!$E71:$E241,'Raw Data'!$G71:$G241,"")</f>
        <v>78.59</v>
      </c>
      <c r="E92" s="3">
        <f>_xlfn.XLOOKUP($B92,'Raw Data'!$I92:$I283,'Raw Data'!$K92:$K283,"")</f>
        <v>307.89999999999998</v>
      </c>
      <c r="F92" s="3">
        <f>_xlfn.XLOOKUP($B92,'Raw Data'!$M92:$M283,'Raw Data'!$O92:$O283,"")</f>
        <v>2117</v>
      </c>
      <c r="G92" s="3">
        <f>_xlfn.XLOOKUP($B92,'Raw Data'!$Q92:$Q283,'Raw Data'!$S92:$S283,"")</f>
        <v>0.79469999999999996</v>
      </c>
      <c r="H92" s="3">
        <f>_xlfn.XLOOKUP($B92,'Raw Data'!$U92:$U283,'Raw Data'!$W92:$W283,"")</f>
        <v>2471.65</v>
      </c>
      <c r="I92" s="3">
        <f>_xlfn.XLOOKUP($B92,'Raw Data'!$AG80:$AG259,'Raw Data'!$AI80:$AI259,"")</f>
        <v>58.4</v>
      </c>
    </row>
    <row r="93" spans="2:9" x14ac:dyDescent="0.25">
      <c r="B93" s="1">
        <v>43008</v>
      </c>
      <c r="C93" s="3">
        <f>_xlfn.XLOOKUP($B93,'Raw Data'!$A93:$A284,'Raw Data'!$C93:$C284,0)</f>
        <v>62.807499999999997</v>
      </c>
      <c r="D93" s="3">
        <f>_xlfn.XLOOKUP($B93,'Raw Data'!$E72:$E242,'Raw Data'!$G72:$G242,"")</f>
        <v>63.56</v>
      </c>
      <c r="E93" s="3">
        <f>_xlfn.XLOOKUP($B93,'Raw Data'!$I93:$I284,'Raw Data'!$K93:$K284,"")</f>
        <v>295.5</v>
      </c>
      <c r="F93" s="3">
        <f>_xlfn.XLOOKUP($B93,'Raw Data'!$M93:$M284,'Raw Data'!$O93:$O284,"")</f>
        <v>2102</v>
      </c>
      <c r="G93" s="3">
        <f>_xlfn.XLOOKUP($B93,'Raw Data'!$Q93:$Q284,'Raw Data'!$S93:$S284,"")</f>
        <v>0.78339999999999999</v>
      </c>
      <c r="H93" s="3">
        <f>_xlfn.XLOOKUP($B93,'Raw Data'!$U93:$U284,'Raw Data'!$W93:$W284,"")</f>
        <v>2519.36</v>
      </c>
      <c r="I93" s="3">
        <f>_xlfn.XLOOKUP($B93,'Raw Data'!$AG81:$AG260,'Raw Data'!$AI81:$AI260,"")</f>
        <v>60</v>
      </c>
    </row>
    <row r="94" spans="2:9" x14ac:dyDescent="0.25">
      <c r="B94" s="1">
        <v>43039</v>
      </c>
      <c r="C94" s="3">
        <f>_xlfn.XLOOKUP($B94,'Raw Data'!$A94:$A285,'Raw Data'!$C94:$C285,0)</f>
        <v>63.792400000000001</v>
      </c>
      <c r="D94" s="3">
        <f>_xlfn.XLOOKUP($B94,'Raw Data'!$E73:$E243,'Raw Data'!$G73:$G243,"")</f>
        <v>58.36</v>
      </c>
      <c r="E94" s="3">
        <f>_xlfn.XLOOKUP($B94,'Raw Data'!$I94:$I285,'Raw Data'!$K94:$K285,"")</f>
        <v>310.10000000000002</v>
      </c>
      <c r="F94" s="3">
        <f>_xlfn.XLOOKUP($B94,'Raw Data'!$M94:$M285,'Raw Data'!$O94:$O285,"")</f>
        <v>2160</v>
      </c>
      <c r="G94" s="3">
        <f>_xlfn.XLOOKUP($B94,'Raw Data'!$Q94:$Q285,'Raw Data'!$S94:$S285,"")</f>
        <v>0.76559999999999995</v>
      </c>
      <c r="H94" s="3">
        <f>_xlfn.XLOOKUP($B94,'Raw Data'!$U94:$U285,'Raw Data'!$W94:$W285,"")</f>
        <v>2575.2600000000002</v>
      </c>
      <c r="I94" s="3">
        <f>_xlfn.XLOOKUP($B94,'Raw Data'!$AG82:$AG261,'Raw Data'!$AI82:$AI261,"")</f>
        <v>58.6</v>
      </c>
    </row>
    <row r="95" spans="2:9" x14ac:dyDescent="0.25">
      <c r="B95" s="1">
        <v>43069</v>
      </c>
      <c r="C95" s="3">
        <f>_xlfn.XLOOKUP($B95,'Raw Data'!$A95:$A286,'Raw Data'!$C95:$C286,0)</f>
        <v>63.752400000000002</v>
      </c>
      <c r="D95" s="3">
        <f>_xlfn.XLOOKUP($B95,'Raw Data'!$E74:$E244,'Raw Data'!$G74:$G244,"")</f>
        <v>68.73</v>
      </c>
      <c r="E95" s="3">
        <f>_xlfn.XLOOKUP($B95,'Raw Data'!$I95:$I286,'Raw Data'!$K95:$K286,"")</f>
        <v>303.7</v>
      </c>
      <c r="F95" s="3">
        <f>_xlfn.XLOOKUP($B95,'Raw Data'!$M95:$M286,'Raw Data'!$O95:$O286,"")</f>
        <v>2048</v>
      </c>
      <c r="G95" s="3">
        <f>_xlfn.XLOOKUP($B95,'Raw Data'!$Q95:$Q286,'Raw Data'!$S95:$S286,"")</f>
        <v>0.75660000000000005</v>
      </c>
      <c r="H95" s="3">
        <f>_xlfn.XLOOKUP($B95,'Raw Data'!$U95:$U286,'Raw Data'!$W95:$W286,"")</f>
        <v>2647.58</v>
      </c>
      <c r="I95" s="3">
        <f>_xlfn.XLOOKUP($B95,'Raw Data'!$AG83:$AG262,'Raw Data'!$AI83:$AI262,"")</f>
        <v>57.6</v>
      </c>
    </row>
    <row r="96" spans="2:9" x14ac:dyDescent="0.25">
      <c r="B96" s="1">
        <v>43100</v>
      </c>
      <c r="C96" s="3">
        <f>_xlfn.XLOOKUP($B96,'Raw Data'!$A96:$A287,'Raw Data'!$C96:$C287,0)</f>
        <v>70.447100000000006</v>
      </c>
      <c r="D96" s="3">
        <f>_xlfn.XLOOKUP($B96,'Raw Data'!$E75:$E245,'Raw Data'!$G75:$G245,"")</f>
        <v>70.78</v>
      </c>
      <c r="E96" s="3">
        <f>_xlfn.XLOOKUP($B96,'Raw Data'!$I96:$I287,'Raw Data'!$K96:$K287,"")</f>
        <v>330.05</v>
      </c>
      <c r="F96" s="3">
        <f>_xlfn.XLOOKUP($B96,'Raw Data'!$M96:$M287,'Raw Data'!$O96:$O287,"")</f>
        <v>2268</v>
      </c>
      <c r="G96" s="3">
        <f>_xlfn.XLOOKUP($B96,'Raw Data'!$Q96:$Q287,'Raw Data'!$S96:$S287,"")</f>
        <v>0.78090000000000004</v>
      </c>
      <c r="H96" s="3">
        <f>_xlfn.XLOOKUP($B96,'Raw Data'!$U96:$U287,'Raw Data'!$W96:$W287,"")</f>
        <v>2673.61</v>
      </c>
      <c r="I96" s="3">
        <f>_xlfn.XLOOKUP($B96,'Raw Data'!$AG84:$AG263,'Raw Data'!$AI84:$AI263,"")</f>
        <v>59.7</v>
      </c>
    </row>
    <row r="97" spans="2:9" x14ac:dyDescent="0.25">
      <c r="B97" s="1">
        <v>43131</v>
      </c>
      <c r="C97" s="3">
        <f>_xlfn.XLOOKUP($B97,'Raw Data'!$A97:$A288,'Raw Data'!$C97:$C288,0)</f>
        <v>74.679500000000004</v>
      </c>
      <c r="D97" s="3">
        <f>_xlfn.XLOOKUP($B97,'Raw Data'!$E76:$E246,'Raw Data'!$G76:$G246,"")</f>
        <v>71.61</v>
      </c>
      <c r="E97" s="3">
        <f>_xlfn.XLOOKUP($B97,'Raw Data'!$I97:$I288,'Raw Data'!$K97:$K288,"")</f>
        <v>319.55</v>
      </c>
      <c r="F97" s="3">
        <f>_xlfn.XLOOKUP($B97,'Raw Data'!$M97:$M288,'Raw Data'!$O97:$O288,"")</f>
        <v>2219.5</v>
      </c>
      <c r="G97" s="3">
        <f>_xlfn.XLOOKUP($B97,'Raw Data'!$Q97:$Q288,'Raw Data'!$S97:$S288,"")</f>
        <v>0.80549999999999999</v>
      </c>
      <c r="H97" s="3">
        <f>_xlfn.XLOOKUP($B97,'Raw Data'!$U97:$U288,'Raw Data'!$W97:$W288,"")</f>
        <v>2823.81</v>
      </c>
      <c r="I97" s="3">
        <f>_xlfn.XLOOKUP($B97,'Raw Data'!$AG85:$AG264,'Raw Data'!$AI85:$AI264,"")</f>
        <v>59.4</v>
      </c>
    </row>
    <row r="98" spans="2:9" x14ac:dyDescent="0.25">
      <c r="B98" s="1">
        <v>43159</v>
      </c>
      <c r="C98" s="3">
        <f>_xlfn.XLOOKUP($B98,'Raw Data'!$A98:$A289,'Raw Data'!$C98:$C289,0)</f>
        <v>72.816199999999995</v>
      </c>
      <c r="D98" s="3">
        <f>_xlfn.XLOOKUP($B98,'Raw Data'!$E77:$E247,'Raw Data'!$G77:$G247,"")</f>
        <v>75.59</v>
      </c>
      <c r="E98" s="3">
        <f>_xlfn.XLOOKUP($B98,'Raw Data'!$I98:$I289,'Raw Data'!$K98:$K289,"")</f>
        <v>310.75</v>
      </c>
      <c r="F98" s="3">
        <f>_xlfn.XLOOKUP($B98,'Raw Data'!$M98:$M289,'Raw Data'!$O98:$O289,"")</f>
        <v>2132</v>
      </c>
      <c r="G98" s="3">
        <f>_xlfn.XLOOKUP($B98,'Raw Data'!$Q98:$Q289,'Raw Data'!$S98:$S289,"")</f>
        <v>0.7762</v>
      </c>
      <c r="H98" s="3">
        <f>_xlfn.XLOOKUP($B98,'Raw Data'!$U98:$U289,'Raw Data'!$W98:$W289,"")</f>
        <v>2713.83</v>
      </c>
      <c r="I98" s="3">
        <f>_xlfn.XLOOKUP($B98,'Raw Data'!$AG86:$AG265,'Raw Data'!$AI86:$AI265,"")</f>
        <v>60.9</v>
      </c>
    </row>
    <row r="99" spans="2:9" x14ac:dyDescent="0.25">
      <c r="B99" s="1">
        <v>43190</v>
      </c>
      <c r="C99" s="3">
        <f>_xlfn.XLOOKUP($B99,'Raw Data'!$A99:$A290,'Raw Data'!$C99:$C290,0)</f>
        <v>70.943899999999999</v>
      </c>
      <c r="D99" s="3">
        <f>_xlfn.XLOOKUP($B99,'Raw Data'!$E78:$E248,'Raw Data'!$G78:$G248,"")</f>
        <v>61.49</v>
      </c>
      <c r="E99" s="3">
        <f>_xlfn.XLOOKUP($B99,'Raw Data'!$I99:$I290,'Raw Data'!$K99:$K290,"")</f>
        <v>302.55</v>
      </c>
      <c r="F99" s="3">
        <f>_xlfn.XLOOKUP($B99,'Raw Data'!$M99:$M290,'Raw Data'!$O99:$O290,"")</f>
        <v>2004.5</v>
      </c>
      <c r="G99" s="3">
        <f>_xlfn.XLOOKUP($B99,'Raw Data'!$Q99:$Q290,'Raw Data'!$S99:$S290,"")</f>
        <v>0.76790000000000003</v>
      </c>
      <c r="H99" s="3">
        <f>_xlfn.XLOOKUP($B99,'Raw Data'!$U99:$U290,'Raw Data'!$W99:$W290,"")</f>
        <v>2640.87</v>
      </c>
      <c r="I99" s="3">
        <f>_xlfn.XLOOKUP($B99,'Raw Data'!$AG87:$AG266,'Raw Data'!$AI87:$AI266,"")</f>
        <v>58.8</v>
      </c>
    </row>
    <row r="100" spans="2:9" x14ac:dyDescent="0.25">
      <c r="B100" s="1">
        <v>43220</v>
      </c>
      <c r="C100" s="3">
        <f>_xlfn.XLOOKUP($B100,'Raw Data'!$A100:$A291,'Raw Data'!$C100:$C291,0)</f>
        <v>75.6524</v>
      </c>
      <c r="D100" s="3">
        <f>_xlfn.XLOOKUP($B100,'Raw Data'!$E79:$E249,'Raw Data'!$G79:$G249,"")</f>
        <v>63.7</v>
      </c>
      <c r="E100" s="3">
        <f>_xlfn.XLOOKUP($B100,'Raw Data'!$I100:$I291,'Raw Data'!$K100:$K291,"")</f>
        <v>305.25</v>
      </c>
      <c r="F100" s="3">
        <f>_xlfn.XLOOKUP($B100,'Raw Data'!$M100:$M291,'Raw Data'!$O100:$O291,"")</f>
        <v>2255</v>
      </c>
      <c r="G100" s="3">
        <f>_xlfn.XLOOKUP($B100,'Raw Data'!$Q100:$Q291,'Raw Data'!$S100:$S291,"")</f>
        <v>0.753</v>
      </c>
      <c r="H100" s="3">
        <f>_xlfn.XLOOKUP($B100,'Raw Data'!$U100:$U291,'Raw Data'!$W100:$W291,"")</f>
        <v>2648.05</v>
      </c>
      <c r="I100" s="3">
        <f>_xlfn.XLOOKUP($B100,'Raw Data'!$AG88:$AG267,'Raw Data'!$AI88:$AI267,"")</f>
        <v>58.6</v>
      </c>
    </row>
    <row r="101" spans="2:9" x14ac:dyDescent="0.25">
      <c r="B101" s="1">
        <v>43251</v>
      </c>
      <c r="C101" s="3">
        <f>_xlfn.XLOOKUP($B101,'Raw Data'!$A101:$A292,'Raw Data'!$C101:$C292,0)</f>
        <v>78.061700000000002</v>
      </c>
      <c r="D101" s="3">
        <f>_xlfn.XLOOKUP($B101,'Raw Data'!$E80:$E250,'Raw Data'!$G80:$G250,"")</f>
        <v>61.57</v>
      </c>
      <c r="E101" s="3">
        <f>_xlfn.XLOOKUP($B101,'Raw Data'!$I101:$I292,'Raw Data'!$K101:$K292,"")</f>
        <v>306.5</v>
      </c>
      <c r="F101" s="3">
        <f>_xlfn.XLOOKUP($B101,'Raw Data'!$M101:$M292,'Raw Data'!$O101:$O292,"")</f>
        <v>2292</v>
      </c>
      <c r="G101" s="3">
        <f>_xlfn.XLOOKUP($B101,'Raw Data'!$Q101:$Q292,'Raw Data'!$S101:$S292,"")</f>
        <v>0.75680000000000003</v>
      </c>
      <c r="H101" s="3">
        <f>_xlfn.XLOOKUP($B101,'Raw Data'!$U101:$U292,'Raw Data'!$W101:$W292,"")</f>
        <v>2705.27</v>
      </c>
      <c r="I101" s="3">
        <f>_xlfn.XLOOKUP($B101,'Raw Data'!$AG89:$AG268,'Raw Data'!$AI89:$AI268,"")</f>
        <v>59</v>
      </c>
    </row>
    <row r="102" spans="2:9" x14ac:dyDescent="0.25">
      <c r="B102" s="1">
        <v>43281</v>
      </c>
      <c r="C102" s="3">
        <f>_xlfn.XLOOKUP($B102,'Raw Data'!$A102:$A293,'Raw Data'!$C102:$C293,0)</f>
        <v>76.382099999999994</v>
      </c>
      <c r="D102" s="3">
        <f>_xlfn.XLOOKUP($B102,'Raw Data'!$E81:$E251,'Raw Data'!$G81:$G251,"")</f>
        <v>60.44</v>
      </c>
      <c r="E102" s="3">
        <f>_xlfn.XLOOKUP($B102,'Raw Data'!$I102:$I293,'Raw Data'!$K102:$K293,"")</f>
        <v>295.10000000000002</v>
      </c>
      <c r="F102" s="3">
        <f>_xlfn.XLOOKUP($B102,'Raw Data'!$M102:$M293,'Raw Data'!$O102:$O293,"")</f>
        <v>2133</v>
      </c>
      <c r="G102" s="3">
        <f>_xlfn.XLOOKUP($B102,'Raw Data'!$Q102:$Q293,'Raw Data'!$S102:$S293,"")</f>
        <v>0.74050000000000005</v>
      </c>
      <c r="H102" s="3">
        <f>_xlfn.XLOOKUP($B102,'Raw Data'!$U102:$U293,'Raw Data'!$W102:$W293,"")</f>
        <v>2718.37</v>
      </c>
      <c r="I102" s="3">
        <f>_xlfn.XLOOKUP($B102,'Raw Data'!$AG90:$AG269,'Raw Data'!$AI90:$AI269,"")</f>
        <v>59.9</v>
      </c>
    </row>
    <row r="103" spans="2:9" x14ac:dyDescent="0.25">
      <c r="B103" s="1">
        <v>43312</v>
      </c>
      <c r="C103" s="3">
        <f>_xlfn.XLOOKUP($B103,'Raw Data'!$A103:$A294,'Raw Data'!$C103:$C294,0)</f>
        <v>76.409599999999998</v>
      </c>
      <c r="D103" s="3">
        <f>_xlfn.XLOOKUP($B103,'Raw Data'!$E82:$E252,'Raw Data'!$G82:$G252,"")</f>
        <v>60.87</v>
      </c>
      <c r="E103" s="3">
        <f>_xlfn.XLOOKUP($B103,'Raw Data'!$I103:$I294,'Raw Data'!$K103:$K294,"")</f>
        <v>283.14999999999998</v>
      </c>
      <c r="F103" s="3">
        <f>_xlfn.XLOOKUP($B103,'Raw Data'!$M103:$M294,'Raw Data'!$O103:$O294,"")</f>
        <v>2081</v>
      </c>
      <c r="G103" s="3">
        <f>_xlfn.XLOOKUP($B103,'Raw Data'!$Q103:$Q294,'Raw Data'!$S103:$S294,"")</f>
        <v>0.74239999999999995</v>
      </c>
      <c r="H103" s="3">
        <f>_xlfn.XLOOKUP($B103,'Raw Data'!$U103:$U294,'Raw Data'!$W103:$W294,"")</f>
        <v>2816.29</v>
      </c>
      <c r="I103" s="3">
        <f>_xlfn.XLOOKUP($B103,'Raw Data'!$AG91:$AG270,'Raw Data'!$AI91:$AI270,"")</f>
        <v>58.1</v>
      </c>
    </row>
    <row r="104" spans="2:9" x14ac:dyDescent="0.25">
      <c r="B104" s="1">
        <v>43343</v>
      </c>
      <c r="C104" s="3">
        <f>_xlfn.XLOOKUP($B104,'Raw Data'!$A104:$A295,'Raw Data'!$C104:$C295,0)</f>
        <v>67.790800000000004</v>
      </c>
      <c r="D104" s="3">
        <f>_xlfn.XLOOKUP($B104,'Raw Data'!$E83:$E253,'Raw Data'!$G83:$G253,"")</f>
        <v>61.99</v>
      </c>
      <c r="E104" s="3">
        <f>_xlfn.XLOOKUP($B104,'Raw Data'!$I104:$I295,'Raw Data'!$K104:$K295,"")</f>
        <v>264.89999999999998</v>
      </c>
      <c r="F104" s="3">
        <f>_xlfn.XLOOKUP($B104,'Raw Data'!$M104:$M295,'Raw Data'!$O104:$O295,"")</f>
        <v>2125</v>
      </c>
      <c r="G104" s="3">
        <f>_xlfn.XLOOKUP($B104,'Raw Data'!$Q104:$Q295,'Raw Data'!$S104:$S295,"")</f>
        <v>0.71889999999999998</v>
      </c>
      <c r="H104" s="3">
        <f>_xlfn.XLOOKUP($B104,'Raw Data'!$U104:$U295,'Raw Data'!$W104:$W295,"")</f>
        <v>2901.52</v>
      </c>
      <c r="I104" s="3">
        <f>_xlfn.XLOOKUP($B104,'Raw Data'!$AG92:$AG271,'Raw Data'!$AI92:$AI271,"")</f>
        <v>60.5</v>
      </c>
    </row>
    <row r="105" spans="2:9" x14ac:dyDescent="0.25">
      <c r="B105" s="1">
        <v>43373</v>
      </c>
      <c r="C105" s="3">
        <f>_xlfn.XLOOKUP($B105,'Raw Data'!$A105:$A296,'Raw Data'!$C105:$C296,0)</f>
        <v>72.010999999999996</v>
      </c>
      <c r="D105" s="3">
        <f>_xlfn.XLOOKUP($B105,'Raw Data'!$E84:$E254,'Raw Data'!$G84:$G254,"")</f>
        <v>66.16</v>
      </c>
      <c r="E105" s="3">
        <f>_xlfn.XLOOKUP($B105,'Raw Data'!$I105:$I296,'Raw Data'!$K105:$K296,"")</f>
        <v>280.5</v>
      </c>
      <c r="F105" s="3">
        <f>_xlfn.XLOOKUP($B105,'Raw Data'!$M105:$M296,'Raw Data'!$O105:$O296,"")</f>
        <v>2062</v>
      </c>
      <c r="G105" s="3">
        <f>_xlfn.XLOOKUP($B105,'Raw Data'!$Q105:$Q296,'Raw Data'!$S105:$S296,"")</f>
        <v>0.72240000000000004</v>
      </c>
      <c r="H105" s="3">
        <f>_xlfn.XLOOKUP($B105,'Raw Data'!$U105:$U296,'Raw Data'!$W105:$W296,"")</f>
        <v>2913.98</v>
      </c>
      <c r="I105" s="3">
        <f>_xlfn.XLOOKUP($B105,'Raw Data'!$AG93:$AG272,'Raw Data'!$AI93:$AI272,"")</f>
        <v>59.3</v>
      </c>
    </row>
    <row r="106" spans="2:9" x14ac:dyDescent="0.25">
      <c r="B106" s="1">
        <v>43404</v>
      </c>
      <c r="C106" s="3">
        <f>_xlfn.XLOOKUP($B106,'Raw Data'!$A106:$A297,'Raw Data'!$C106:$C297,0)</f>
        <v>69.569199999999995</v>
      </c>
      <c r="D106" s="3">
        <f>_xlfn.XLOOKUP($B106,'Raw Data'!$E85:$E255,'Raw Data'!$G85:$G255,"")</f>
        <v>74.61</v>
      </c>
      <c r="E106" s="3">
        <f>_xlfn.XLOOKUP($B106,'Raw Data'!$I106:$I297,'Raw Data'!$K106:$K297,"")</f>
        <v>265.89999999999998</v>
      </c>
      <c r="F106" s="3">
        <f>_xlfn.XLOOKUP($B106,'Raw Data'!$M106:$M297,'Raw Data'!$O106:$O297,"")</f>
        <v>1953.5</v>
      </c>
      <c r="G106" s="3">
        <f>_xlfn.XLOOKUP($B106,'Raw Data'!$Q106:$Q297,'Raw Data'!$S106:$S297,"")</f>
        <v>0.70730000000000004</v>
      </c>
      <c r="H106" s="3">
        <f>_xlfn.XLOOKUP($B106,'Raw Data'!$U106:$U297,'Raw Data'!$W106:$W297,"")</f>
        <v>2711.74</v>
      </c>
      <c r="I106" s="3">
        <f>_xlfn.XLOOKUP($B106,'Raw Data'!$AG94:$AG273,'Raw Data'!$AI94:$AI273,"")</f>
        <v>58.1</v>
      </c>
    </row>
    <row r="107" spans="2:9" x14ac:dyDescent="0.25">
      <c r="B107" s="1">
        <v>43434</v>
      </c>
      <c r="C107" s="3">
        <f>_xlfn.XLOOKUP($B107,'Raw Data'!$A107:$A298,'Raw Data'!$C107:$C298,0)</f>
        <v>65.9983</v>
      </c>
      <c r="D107" s="3">
        <f>_xlfn.XLOOKUP($B107,'Raw Data'!$E86:$E256,'Raw Data'!$G86:$G256,"")</f>
        <v>64.709999999999994</v>
      </c>
      <c r="E107" s="3">
        <f>_xlfn.XLOOKUP($B107,'Raw Data'!$I107:$I298,'Raw Data'!$K107:$K298,"")</f>
        <v>277.75</v>
      </c>
      <c r="F107" s="3">
        <f>_xlfn.XLOOKUP($B107,'Raw Data'!$M107:$M298,'Raw Data'!$O107:$O298,"")</f>
        <v>1958</v>
      </c>
      <c r="G107" s="3">
        <f>_xlfn.XLOOKUP($B107,'Raw Data'!$Q107:$Q298,'Raw Data'!$S107:$S298,"")</f>
        <v>0.73060000000000003</v>
      </c>
      <c r="H107" s="3">
        <f>_xlfn.XLOOKUP($B107,'Raw Data'!$U107:$U298,'Raw Data'!$W107:$W298,"")</f>
        <v>2760.17</v>
      </c>
      <c r="I107" s="3">
        <f>_xlfn.XLOOKUP($B107,'Raw Data'!$AG95:$AG274,'Raw Data'!$AI95:$AI274,"")</f>
        <v>58.6</v>
      </c>
    </row>
    <row r="108" spans="2:9" x14ac:dyDescent="0.25">
      <c r="B108" s="1">
        <v>43465</v>
      </c>
      <c r="C108" s="3">
        <f>_xlfn.XLOOKUP($B108,'Raw Data'!$A108:$A299,'Raw Data'!$C108:$C299,0)</f>
        <v>68.425899999999999</v>
      </c>
      <c r="D108" s="3">
        <f>_xlfn.XLOOKUP($B108,'Raw Data'!$E87:$E257,'Raw Data'!$G87:$G257,"")</f>
        <v>70.58</v>
      </c>
      <c r="E108" s="3">
        <f>_xlfn.XLOOKUP($B108,'Raw Data'!$I108:$I299,'Raw Data'!$K108:$K299,"")</f>
        <v>263.10000000000002</v>
      </c>
      <c r="F108" s="3">
        <f>_xlfn.XLOOKUP($B108,'Raw Data'!$M108:$M299,'Raw Data'!$O108:$O299,"")</f>
        <v>1846</v>
      </c>
      <c r="G108" s="3">
        <f>_xlfn.XLOOKUP($B108,'Raw Data'!$Q108:$Q299,'Raw Data'!$S108:$S299,"")</f>
        <v>0.70489999999999997</v>
      </c>
      <c r="H108" s="3">
        <f>_xlfn.XLOOKUP($B108,'Raw Data'!$U108:$U299,'Raw Data'!$W108:$W299,"")</f>
        <v>2506.85</v>
      </c>
      <c r="I108" s="3">
        <f>_xlfn.XLOOKUP($B108,'Raw Data'!$AG96:$AG275,'Raw Data'!$AI96:$AI275,"")</f>
        <v>54.9</v>
      </c>
    </row>
    <row r="109" spans="2:9" x14ac:dyDescent="0.25">
      <c r="B109" s="1">
        <v>43496</v>
      </c>
      <c r="C109" s="3">
        <f>_xlfn.XLOOKUP($B109,'Raw Data'!$A109:$A300,'Raw Data'!$C109:$C300,0)</f>
        <v>79.421000000000006</v>
      </c>
      <c r="D109" s="3">
        <f>_xlfn.XLOOKUP($B109,'Raw Data'!$E88:$E258,'Raw Data'!$G88:$G258,"")</f>
        <v>79.27</v>
      </c>
      <c r="E109" s="3">
        <f>_xlfn.XLOOKUP($B109,'Raw Data'!$I109:$I300,'Raw Data'!$K109:$K300,"")</f>
        <v>278.45</v>
      </c>
      <c r="F109" s="3">
        <f>_xlfn.XLOOKUP($B109,'Raw Data'!$M109:$M300,'Raw Data'!$O109:$O300,"")</f>
        <v>1910</v>
      </c>
      <c r="G109" s="3">
        <f>_xlfn.XLOOKUP($B109,'Raw Data'!$Q109:$Q300,'Raw Data'!$S109:$S300,"")</f>
        <v>0.72729999999999995</v>
      </c>
      <c r="H109" s="3">
        <f>_xlfn.XLOOKUP($B109,'Raw Data'!$U109:$U300,'Raw Data'!$W109:$W300,"")</f>
        <v>2704.1</v>
      </c>
      <c r="I109" s="3">
        <f>_xlfn.XLOOKUP($B109,'Raw Data'!$AG97:$AG276,'Raw Data'!$AI97:$AI276,"")</f>
        <v>55.7</v>
      </c>
    </row>
    <row r="110" spans="2:9" x14ac:dyDescent="0.25">
      <c r="B110" s="1">
        <v>43524</v>
      </c>
      <c r="C110" s="3">
        <f>_xlfn.XLOOKUP($B110,'Raw Data'!$A110:$A301,'Raw Data'!$C110:$C301,0)</f>
        <v>82.144999999999996</v>
      </c>
      <c r="D110" s="3">
        <f>_xlfn.XLOOKUP($B110,'Raw Data'!$E89:$E259,'Raw Data'!$G89:$G259,"")</f>
        <v>81.61</v>
      </c>
      <c r="E110" s="3">
        <f>_xlfn.XLOOKUP($B110,'Raw Data'!$I110:$I301,'Raw Data'!$K110:$K301,"")</f>
        <v>295</v>
      </c>
      <c r="F110" s="3">
        <f>_xlfn.XLOOKUP($B110,'Raw Data'!$M110:$M301,'Raw Data'!$O110:$O301,"")</f>
        <v>1911</v>
      </c>
      <c r="G110" s="3">
        <f>_xlfn.XLOOKUP($B110,'Raw Data'!$Q110:$Q301,'Raw Data'!$S110:$S301,"")</f>
        <v>0.70940000000000003</v>
      </c>
      <c r="H110" s="3">
        <f>_xlfn.XLOOKUP($B110,'Raw Data'!$U110:$U301,'Raw Data'!$W110:$W301,"")</f>
        <v>2784.49</v>
      </c>
      <c r="I110" s="3">
        <f>_xlfn.XLOOKUP($B110,'Raw Data'!$AG98:$AG277,'Raw Data'!$AI98:$AI277,"")</f>
        <v>54.4</v>
      </c>
    </row>
    <row r="111" spans="2:9" x14ac:dyDescent="0.25">
      <c r="B111" s="1">
        <v>43555</v>
      </c>
      <c r="C111" s="3">
        <f>_xlfn.XLOOKUP($B111,'Raw Data'!$A111:$A302,'Raw Data'!$C111:$C302,0)</f>
        <v>89.480999999999995</v>
      </c>
      <c r="D111" s="3">
        <f>_xlfn.XLOOKUP($B111,'Raw Data'!$E90:$E260,'Raw Data'!$G90:$G260,"")</f>
        <v>82.06</v>
      </c>
      <c r="E111" s="3">
        <f>_xlfn.XLOOKUP($B111,'Raw Data'!$I111:$I302,'Raw Data'!$K111:$K302,"")</f>
        <v>293.60000000000002</v>
      </c>
      <c r="F111" s="3">
        <f>_xlfn.XLOOKUP($B111,'Raw Data'!$M111:$M302,'Raw Data'!$O111:$O302,"")</f>
        <v>1912</v>
      </c>
      <c r="G111" s="3">
        <f>_xlfn.XLOOKUP($B111,'Raw Data'!$Q111:$Q302,'Raw Data'!$S111:$S302,"")</f>
        <v>0.70960000000000001</v>
      </c>
      <c r="H111" s="3">
        <f>_xlfn.XLOOKUP($B111,'Raw Data'!$U111:$U302,'Raw Data'!$W111:$W302,"")</f>
        <v>2834.4</v>
      </c>
      <c r="I111" s="3">
        <f>_xlfn.XLOOKUP($B111,'Raw Data'!$AG99:$AG278,'Raw Data'!$AI99:$AI278,"")</f>
        <v>54.9</v>
      </c>
    </row>
    <row r="112" spans="2:9" x14ac:dyDescent="0.25">
      <c r="B112" s="1">
        <v>43585</v>
      </c>
      <c r="C112" s="3">
        <f>_xlfn.XLOOKUP($B112,'Raw Data'!$A112:$A303,'Raw Data'!$C112:$C303,0)</f>
        <v>89.557100000000005</v>
      </c>
      <c r="D112" s="3">
        <f>_xlfn.XLOOKUP($B112,'Raw Data'!$E91:$E261,'Raw Data'!$G91:$G261,"")</f>
        <v>87.99</v>
      </c>
      <c r="E112" s="3">
        <f>_xlfn.XLOOKUP($B112,'Raw Data'!$I112:$I303,'Raw Data'!$K112:$K303,"")</f>
        <v>290.14999999999998</v>
      </c>
      <c r="F112" s="3">
        <f>_xlfn.XLOOKUP($B112,'Raw Data'!$M112:$M303,'Raw Data'!$O112:$O303,"")</f>
        <v>1797</v>
      </c>
      <c r="G112" s="3">
        <f>_xlfn.XLOOKUP($B112,'Raw Data'!$Q112:$Q303,'Raw Data'!$S112:$S303,"")</f>
        <v>0.70479999999999998</v>
      </c>
      <c r="H112" s="3">
        <f>_xlfn.XLOOKUP($B112,'Raw Data'!$U112:$U303,'Raw Data'!$W112:$W303,"")</f>
        <v>2945.83</v>
      </c>
      <c r="I112" s="3">
        <f>_xlfn.XLOOKUP($B112,'Raw Data'!$AG100:$AG279,'Raw Data'!$AI100:$AI279,"")</f>
        <v>53.6</v>
      </c>
    </row>
    <row r="113" spans="2:9" x14ac:dyDescent="0.25">
      <c r="B113" s="1">
        <v>43616</v>
      </c>
      <c r="C113" s="3">
        <f>_xlfn.XLOOKUP($B113,'Raw Data'!$A113:$A304,'Raw Data'!$C113:$C304,0)</f>
        <v>88.0822</v>
      </c>
      <c r="D113" s="3">
        <f>_xlfn.XLOOKUP($B113,'Raw Data'!$E92:$E262,'Raw Data'!$G92:$G262,"")</f>
        <v>98.72</v>
      </c>
      <c r="E113" s="3">
        <f>_xlfn.XLOOKUP($B113,'Raw Data'!$I113:$I304,'Raw Data'!$K113:$K304,"")</f>
        <v>264</v>
      </c>
      <c r="F113" s="3">
        <f>_xlfn.XLOOKUP($B113,'Raw Data'!$M113:$M304,'Raw Data'!$O113:$O304,"")</f>
        <v>1794.5</v>
      </c>
      <c r="G113" s="3">
        <f>_xlfn.XLOOKUP($B113,'Raw Data'!$Q113:$Q304,'Raw Data'!$S113:$S304,"")</f>
        <v>0.69379999999999997</v>
      </c>
      <c r="H113" s="3">
        <f>_xlfn.XLOOKUP($B113,'Raw Data'!$U113:$U304,'Raw Data'!$W113:$W304,"")</f>
        <v>2752.06</v>
      </c>
      <c r="I113" s="3">
        <f>_xlfn.XLOOKUP($B113,'Raw Data'!$AG101:$AG280,'Raw Data'!$AI101:$AI280,"")</f>
        <v>52.6</v>
      </c>
    </row>
    <row r="114" spans="2:9" x14ac:dyDescent="0.25">
      <c r="B114" s="1">
        <v>43646</v>
      </c>
      <c r="C114" s="3">
        <f>_xlfn.XLOOKUP($B114,'Raw Data'!$A114:$A305,'Raw Data'!$C114:$C305,0)</f>
        <v>94.787599999999998</v>
      </c>
      <c r="D114" s="3">
        <f>_xlfn.XLOOKUP($B114,'Raw Data'!$E93:$E263,'Raw Data'!$G93:$G263,"")</f>
        <v>112.64</v>
      </c>
      <c r="E114" s="3">
        <f>_xlfn.XLOOKUP($B114,'Raw Data'!$I114:$I305,'Raw Data'!$K114:$K305,"")</f>
        <v>270.55</v>
      </c>
      <c r="F114" s="3">
        <f>_xlfn.XLOOKUP($B114,'Raw Data'!$M114:$M305,'Raw Data'!$O114:$O305,"")</f>
        <v>1800</v>
      </c>
      <c r="G114" s="3">
        <f>_xlfn.XLOOKUP($B114,'Raw Data'!$Q114:$Q305,'Raw Data'!$S114:$S305,"")</f>
        <v>0.70199999999999996</v>
      </c>
      <c r="H114" s="3">
        <f>_xlfn.XLOOKUP($B114,'Raw Data'!$U114:$U305,'Raw Data'!$W114:$W305,"")</f>
        <v>2941.76</v>
      </c>
      <c r="I114" s="3">
        <f>_xlfn.XLOOKUP($B114,'Raw Data'!$AG102:$AG281,'Raw Data'!$AI102:$AI281,"")</f>
        <v>51.5</v>
      </c>
    </row>
    <row r="115" spans="2:9" x14ac:dyDescent="0.25">
      <c r="B115" s="1">
        <v>43677</v>
      </c>
      <c r="C115" s="3">
        <f>_xlfn.XLOOKUP($B115,'Raw Data'!$A115:$A306,'Raw Data'!$C115:$C306,0)</f>
        <v>86.7898</v>
      </c>
      <c r="D115" s="3">
        <f>_xlfn.XLOOKUP($B115,'Raw Data'!$E94:$E264,'Raw Data'!$G94:$G264,"")</f>
        <v>117.05</v>
      </c>
      <c r="E115" s="3">
        <f>_xlfn.XLOOKUP($B115,'Raw Data'!$I115:$I306,'Raw Data'!$K115:$K306,"")</f>
        <v>266.60000000000002</v>
      </c>
      <c r="F115" s="3">
        <f>_xlfn.XLOOKUP($B115,'Raw Data'!$M115:$M306,'Raw Data'!$O115:$O306,"")</f>
        <v>1799</v>
      </c>
      <c r="G115" s="3">
        <f>_xlfn.XLOOKUP($B115,'Raw Data'!$Q115:$Q306,'Raw Data'!$S115:$S306,"")</f>
        <v>0.6845</v>
      </c>
      <c r="H115" s="3">
        <f>_xlfn.XLOOKUP($B115,'Raw Data'!$U115:$U306,'Raw Data'!$W115:$W306,"")</f>
        <v>2980.38</v>
      </c>
      <c r="I115" s="3">
        <f>_xlfn.XLOOKUP($B115,'Raw Data'!$AG103:$AG282,'Raw Data'!$AI103:$AI282,"")</f>
        <v>51</v>
      </c>
    </row>
    <row r="116" spans="2:9" x14ac:dyDescent="0.25">
      <c r="B116" s="1">
        <v>43708</v>
      </c>
      <c r="C116" s="3">
        <f>_xlfn.XLOOKUP($B116,'Raw Data'!$A116:$A307,'Raw Data'!$C116:$C307,0)</f>
        <v>80.125500000000002</v>
      </c>
      <c r="D116" s="3">
        <f>_xlfn.XLOOKUP($B116,'Raw Data'!$E95:$E265,'Raw Data'!$G95:$G265,"")</f>
        <v>87.77</v>
      </c>
      <c r="E116" s="3">
        <f>_xlfn.XLOOKUP($B116,'Raw Data'!$I116:$I307,'Raw Data'!$K116:$K307,"")</f>
        <v>253.3</v>
      </c>
      <c r="F116" s="3">
        <f>_xlfn.XLOOKUP($B116,'Raw Data'!$M116:$M307,'Raw Data'!$O116:$O307,"")</f>
        <v>1753</v>
      </c>
      <c r="G116" s="3">
        <f>_xlfn.XLOOKUP($B116,'Raw Data'!$Q116:$Q307,'Raw Data'!$S116:$S307,"")</f>
        <v>0.67330000000000001</v>
      </c>
      <c r="H116" s="3">
        <f>_xlfn.XLOOKUP($B116,'Raw Data'!$U116:$U307,'Raw Data'!$W116:$W307,"")</f>
        <v>2926.46</v>
      </c>
      <c r="I116" s="3">
        <f>_xlfn.XLOOKUP($B116,'Raw Data'!$AG104:$AG283,'Raw Data'!$AI104:$AI283,"")</f>
        <v>48.5</v>
      </c>
    </row>
    <row r="117" spans="2:9" x14ac:dyDescent="0.25">
      <c r="B117" s="1">
        <v>43738</v>
      </c>
      <c r="C117" s="3">
        <f>_xlfn.XLOOKUP($B117,'Raw Data'!$A117:$A308,'Raw Data'!$C117:$C308,0)</f>
        <v>82.517600000000002</v>
      </c>
      <c r="D117" s="3">
        <f>_xlfn.XLOOKUP($B117,'Raw Data'!$E96:$E266,'Raw Data'!$G96:$G266,"")</f>
        <v>92.98</v>
      </c>
      <c r="E117" s="3">
        <f>_xlfn.XLOOKUP($B117,'Raw Data'!$I117:$I308,'Raw Data'!$K117:$K308,"")</f>
        <v>257.85000000000002</v>
      </c>
      <c r="F117" s="3">
        <f>_xlfn.XLOOKUP($B117,'Raw Data'!$M117:$M308,'Raw Data'!$O117:$O308,"")</f>
        <v>1721.5</v>
      </c>
      <c r="G117" s="3">
        <f>_xlfn.XLOOKUP($B117,'Raw Data'!$Q117:$Q308,'Raw Data'!$S117:$S308,"")</f>
        <v>0.67500000000000004</v>
      </c>
      <c r="H117" s="3">
        <f>_xlfn.XLOOKUP($B117,'Raw Data'!$U117:$U308,'Raw Data'!$W117:$W308,"")</f>
        <v>2976.74</v>
      </c>
      <c r="I117" s="3">
        <f>_xlfn.XLOOKUP($B117,'Raw Data'!$AG105:$AG284,'Raw Data'!$AI105:$AI284,"")</f>
        <v>48.1</v>
      </c>
    </row>
    <row r="118" spans="2:9" x14ac:dyDescent="0.25">
      <c r="B118" s="1">
        <v>43769</v>
      </c>
      <c r="C118" s="3">
        <f>_xlfn.XLOOKUP($B118,'Raw Data'!$A118:$A309,'Raw Data'!$C118:$C309,0)</f>
        <v>82.390900000000002</v>
      </c>
      <c r="D118" s="3">
        <f>_xlfn.XLOOKUP($B118,'Raw Data'!$E97:$E267,'Raw Data'!$G97:$G267,"")</f>
        <v>84.72</v>
      </c>
      <c r="E118" s="3">
        <f>_xlfn.XLOOKUP($B118,'Raw Data'!$I118:$I309,'Raw Data'!$K118:$K309,"")</f>
        <v>263.8</v>
      </c>
      <c r="F118" s="3">
        <f>_xlfn.XLOOKUP($B118,'Raw Data'!$M118:$M309,'Raw Data'!$O118:$O309,"")</f>
        <v>1755</v>
      </c>
      <c r="G118" s="3">
        <f>_xlfn.XLOOKUP($B118,'Raw Data'!$Q118:$Q309,'Raw Data'!$S118:$S309,"")</f>
        <v>0.68940000000000001</v>
      </c>
      <c r="H118" s="3">
        <f>_xlfn.XLOOKUP($B118,'Raw Data'!$U118:$U309,'Raw Data'!$W118:$W309,"")</f>
        <v>3037.56</v>
      </c>
      <c r="I118" s="3">
        <f>_xlfn.XLOOKUP($B118,'Raw Data'!$AG106:$AG285,'Raw Data'!$AI106:$AI285,"")</f>
        <v>48.1</v>
      </c>
    </row>
    <row r="119" spans="2:9" x14ac:dyDescent="0.25">
      <c r="B119" s="1">
        <v>43799</v>
      </c>
      <c r="C119" s="3">
        <f>_xlfn.XLOOKUP($B119,'Raw Data'!$A119:$A310,'Raw Data'!$C119:$C310,0)</f>
        <v>86.430400000000006</v>
      </c>
      <c r="D119" s="3">
        <f>_xlfn.XLOOKUP($B119,'Raw Data'!$E98:$E268,'Raw Data'!$G98:$G268,"")</f>
        <v>83.8</v>
      </c>
      <c r="E119" s="3">
        <f>_xlfn.XLOOKUP($B119,'Raw Data'!$I119:$I310,'Raw Data'!$K119:$K310,"")</f>
        <v>264.2</v>
      </c>
      <c r="F119" s="3">
        <f>_xlfn.XLOOKUP($B119,'Raw Data'!$M119:$M310,'Raw Data'!$O119:$O310,"")</f>
        <v>1770</v>
      </c>
      <c r="G119" s="3">
        <f>_xlfn.XLOOKUP($B119,'Raw Data'!$Q119:$Q310,'Raw Data'!$S119:$S310,"")</f>
        <v>0.67630000000000001</v>
      </c>
      <c r="H119" s="3">
        <f>_xlfn.XLOOKUP($B119,'Raw Data'!$U119:$U310,'Raw Data'!$W119:$W310,"")</f>
        <v>3140.98</v>
      </c>
      <c r="I119" s="3">
        <f>_xlfn.XLOOKUP($B119,'Raw Data'!$AG107:$AG286,'Raw Data'!$AI107:$AI286,"")</f>
        <v>48.1</v>
      </c>
    </row>
    <row r="120" spans="2:9" x14ac:dyDescent="0.25">
      <c r="B120" s="1">
        <v>43830</v>
      </c>
      <c r="C120" s="3">
        <f>_xlfn.XLOOKUP($B120,'Raw Data'!$A120:$A311,'Raw Data'!$C120:$C311,0)</f>
        <v>94.034199999999998</v>
      </c>
      <c r="D120" s="3">
        <f>_xlfn.XLOOKUP($B120,'Raw Data'!$E99:$E269,'Raw Data'!$G99:$G269,"")</f>
        <v>85.97</v>
      </c>
      <c r="E120" s="3">
        <f>_xlfn.XLOOKUP($B120,'Raw Data'!$I120:$I311,'Raw Data'!$K120:$K311,"")</f>
        <v>279.7</v>
      </c>
      <c r="F120" s="3">
        <f>_xlfn.XLOOKUP($B120,'Raw Data'!$M120:$M311,'Raw Data'!$O120:$O311,"")</f>
        <v>1810</v>
      </c>
      <c r="G120" s="3">
        <f>_xlfn.XLOOKUP($B120,'Raw Data'!$Q120:$Q311,'Raw Data'!$S120:$S311,"")</f>
        <v>0.70209999999999995</v>
      </c>
      <c r="H120" s="3">
        <f>_xlfn.XLOOKUP($B120,'Raw Data'!$U120:$U311,'Raw Data'!$W120:$W311,"")</f>
        <v>3230.78</v>
      </c>
      <c r="I120" s="3">
        <f>_xlfn.XLOOKUP($B120,'Raw Data'!$AG108:$AG287,'Raw Data'!$AI108:$AI287,"")</f>
        <v>47.9</v>
      </c>
    </row>
    <row r="121" spans="2:9" x14ac:dyDescent="0.25">
      <c r="B121" s="1">
        <v>43861</v>
      </c>
      <c r="C121" s="3">
        <f>_xlfn.XLOOKUP($B121,'Raw Data'!$A121:$A312,'Raw Data'!$C121:$C312,0)</f>
        <v>84.640299999999996</v>
      </c>
      <c r="D121" s="3">
        <f>_xlfn.XLOOKUP($B121,'Raw Data'!$E100:$E270,'Raw Data'!$G100:$G270,"")</f>
        <v>89.3</v>
      </c>
      <c r="E121" s="3">
        <f>_xlfn.XLOOKUP($B121,'Raw Data'!$I121:$I312,'Raw Data'!$K121:$K312,"")</f>
        <v>251.7</v>
      </c>
      <c r="F121" s="3">
        <f>_xlfn.XLOOKUP($B121,'Raw Data'!$M121:$M312,'Raw Data'!$O121:$O312,"")</f>
        <v>1722</v>
      </c>
      <c r="G121" s="3">
        <f>_xlfn.XLOOKUP($B121,'Raw Data'!$Q121:$Q312,'Raw Data'!$S121:$S312,"")</f>
        <v>0.66920000000000002</v>
      </c>
      <c r="H121" s="3">
        <f>_xlfn.XLOOKUP($B121,'Raw Data'!$U121:$U312,'Raw Data'!$W121:$W312,"")</f>
        <v>3225.52</v>
      </c>
      <c r="I121" s="3">
        <f>_xlfn.XLOOKUP($B121,'Raw Data'!$AG109:$AG288,'Raw Data'!$AI109:$AI288,"")</f>
        <v>51.4</v>
      </c>
    </row>
    <row r="122" spans="2:9" x14ac:dyDescent="0.25">
      <c r="B122" s="1">
        <v>43890</v>
      </c>
      <c r="C122" s="3">
        <f>_xlfn.XLOOKUP($B122,'Raw Data'!$A122:$A313,'Raw Data'!$C122:$C313,0)</f>
        <v>74.343400000000003</v>
      </c>
      <c r="D122" s="3">
        <f>_xlfn.XLOOKUP($B122,'Raw Data'!$E101:$E271,'Raw Data'!$G101:$G271,"")</f>
        <v>80.099999999999994</v>
      </c>
      <c r="E122" s="3">
        <f>_xlfn.XLOOKUP($B122,'Raw Data'!$I122:$I313,'Raw Data'!$K122:$K313,"")</f>
        <v>254.6</v>
      </c>
      <c r="F122" s="3">
        <f>_xlfn.XLOOKUP($B122,'Raw Data'!$M122:$M313,'Raw Data'!$O122:$O313,"")</f>
        <v>1694.5</v>
      </c>
      <c r="G122" s="3">
        <f>_xlfn.XLOOKUP($B122,'Raw Data'!$Q122:$Q313,'Raw Data'!$S122:$S313,"")</f>
        <v>0.65149999999999997</v>
      </c>
      <c r="H122" s="3">
        <f>_xlfn.XLOOKUP($B122,'Raw Data'!$U122:$U313,'Raw Data'!$W122:$W313,"")</f>
        <v>2954.22</v>
      </c>
      <c r="I122" s="3">
        <f>_xlfn.XLOOKUP($B122,'Raw Data'!$AG110:$AG289,'Raw Data'!$AI110:$AI289,"")</f>
        <v>50.1</v>
      </c>
    </row>
    <row r="123" spans="2:9" x14ac:dyDescent="0.25">
      <c r="B123" s="1">
        <v>43921</v>
      </c>
      <c r="C123" s="3">
        <f>_xlfn.XLOOKUP($B123,'Raw Data'!$A123:$A314,'Raw Data'!$C123:$C314,0)</f>
        <v>75.784999999999997</v>
      </c>
      <c r="D123" s="3">
        <f>_xlfn.XLOOKUP($B123,'Raw Data'!$E102:$E272,'Raw Data'!$G102:$G272,"")</f>
        <v>80.650000000000006</v>
      </c>
      <c r="E123" s="3">
        <f>_xlfn.XLOOKUP($B123,'Raw Data'!$I123:$I314,'Raw Data'!$K123:$K314,"")</f>
        <v>222.8</v>
      </c>
      <c r="F123" s="3">
        <f>_xlfn.XLOOKUP($B123,'Raw Data'!$M123:$M314,'Raw Data'!$O123:$O314,"")</f>
        <v>1526</v>
      </c>
      <c r="G123" s="3">
        <f>_xlfn.XLOOKUP($B123,'Raw Data'!$Q123:$Q314,'Raw Data'!$S123:$S314,"")</f>
        <v>0.61309999999999998</v>
      </c>
      <c r="H123" s="3">
        <f>_xlfn.XLOOKUP($B123,'Raw Data'!$U123:$U314,'Raw Data'!$W123:$W314,"")</f>
        <v>2584.59</v>
      </c>
      <c r="I123" s="3">
        <f>_xlfn.XLOOKUP($B123,'Raw Data'!$AG111:$AG290,'Raw Data'!$AI111:$AI290,"")</f>
        <v>49</v>
      </c>
    </row>
    <row r="124" spans="2:9" x14ac:dyDescent="0.25">
      <c r="B124" s="1">
        <v>43951</v>
      </c>
      <c r="C124" s="3">
        <f>_xlfn.XLOOKUP($B124,'Raw Data'!$A124:$A315,'Raw Data'!$C124:$C315,0)</f>
        <v>76.832899999999995</v>
      </c>
      <c r="D124" s="3">
        <f>_xlfn.XLOOKUP($B124,'Raw Data'!$E103:$E273,'Raw Data'!$G103:$G273,"")</f>
        <v>82.56</v>
      </c>
      <c r="E124" s="3">
        <f>_xlfn.XLOOKUP($B124,'Raw Data'!$I124:$I315,'Raw Data'!$K124:$K315,"")</f>
        <v>235.4</v>
      </c>
      <c r="F124" s="3">
        <f>_xlfn.XLOOKUP($B124,'Raw Data'!$M124:$M315,'Raw Data'!$O124:$O315,"")</f>
        <v>1494.5</v>
      </c>
      <c r="G124" s="3">
        <f>_xlfn.XLOOKUP($B124,'Raw Data'!$Q124:$Q315,'Raw Data'!$S124:$S315,"")</f>
        <v>0.6512</v>
      </c>
      <c r="H124" s="3">
        <f>_xlfn.XLOOKUP($B124,'Raw Data'!$U124:$U315,'Raw Data'!$W124:$W315,"")</f>
        <v>2912.43</v>
      </c>
      <c r="I124" s="3">
        <f>_xlfn.XLOOKUP($B124,'Raw Data'!$AG112:$AG291,'Raw Data'!$AI112:$AI291,"")</f>
        <v>41.8</v>
      </c>
    </row>
    <row r="125" spans="2:9" x14ac:dyDescent="0.25">
      <c r="B125" s="1">
        <v>43982</v>
      </c>
      <c r="C125" s="3">
        <f>_xlfn.XLOOKUP($B125,'Raw Data'!$A125:$A316,'Raw Data'!$C125:$C316,0)</f>
        <v>89.691100000000006</v>
      </c>
      <c r="D125" s="3">
        <f>_xlfn.XLOOKUP($B125,'Raw Data'!$E104:$E274,'Raw Data'!$G104:$G274,"")</f>
        <v>94.56</v>
      </c>
      <c r="E125" s="3">
        <f>_xlfn.XLOOKUP($B125,'Raw Data'!$I125:$I316,'Raw Data'!$K125:$K316,"")</f>
        <v>242.55</v>
      </c>
      <c r="F125" s="3">
        <f>_xlfn.XLOOKUP($B125,'Raw Data'!$M125:$M316,'Raw Data'!$O125:$O316,"")</f>
        <v>1548</v>
      </c>
      <c r="G125" s="3">
        <f>_xlfn.XLOOKUP($B125,'Raw Data'!$Q125:$Q316,'Raw Data'!$S125:$S316,"")</f>
        <v>0.66669999999999996</v>
      </c>
      <c r="H125" s="3">
        <f>_xlfn.XLOOKUP($B125,'Raw Data'!$U125:$U316,'Raw Data'!$W125:$W316,"")</f>
        <v>3044.31</v>
      </c>
      <c r="I125" s="3">
        <f>_xlfn.XLOOKUP($B125,'Raw Data'!$AG113:$AG292,'Raw Data'!$AI113:$AI292,"")</f>
        <v>43.5</v>
      </c>
    </row>
    <row r="126" spans="2:9" x14ac:dyDescent="0.25">
      <c r="B126" s="1">
        <v>44012</v>
      </c>
      <c r="C126" s="3">
        <f>_xlfn.XLOOKUP($B126,'Raw Data'!$A126:$A317,'Raw Data'!$C126:$C317,0)</f>
        <v>93.450400000000002</v>
      </c>
      <c r="D126" s="3">
        <f>_xlfn.XLOOKUP($B126,'Raw Data'!$E105:$E275,'Raw Data'!$G105:$G275,"")</f>
        <v>98.01</v>
      </c>
      <c r="E126" s="3">
        <f>_xlfn.XLOOKUP($B126,'Raw Data'!$I126:$I317,'Raw Data'!$K126:$K317,"")</f>
        <v>271.35000000000002</v>
      </c>
      <c r="F126" s="3">
        <f>_xlfn.XLOOKUP($B126,'Raw Data'!$M126:$M317,'Raw Data'!$O126:$O317,"")</f>
        <v>1619.5</v>
      </c>
      <c r="G126" s="3">
        <f>_xlfn.XLOOKUP($B126,'Raw Data'!$Q126:$Q317,'Raw Data'!$S126:$S317,"")</f>
        <v>0.69030000000000002</v>
      </c>
      <c r="H126" s="3">
        <f>_xlfn.XLOOKUP($B126,'Raw Data'!$U126:$U317,'Raw Data'!$W126:$W317,"")</f>
        <v>3100.29</v>
      </c>
      <c r="I126" s="3">
        <f>_xlfn.XLOOKUP($B126,'Raw Data'!$AG114:$AG293,'Raw Data'!$AI114:$AI293,"")</f>
        <v>52.6</v>
      </c>
    </row>
    <row r="127" spans="2:9" x14ac:dyDescent="0.25">
      <c r="B127" s="1">
        <v>44043</v>
      </c>
      <c r="C127" s="3">
        <f>_xlfn.XLOOKUP($B127,'Raw Data'!$A127:$A318,'Raw Data'!$C127:$C318,0)</f>
        <v>101.5346</v>
      </c>
      <c r="D127" s="3">
        <f>_xlfn.XLOOKUP($B127,'Raw Data'!$E106:$E276,'Raw Data'!$G106:$G276,"")</f>
        <v>109.25</v>
      </c>
      <c r="E127" s="3">
        <f>_xlfn.XLOOKUP($B127,'Raw Data'!$I127:$I318,'Raw Data'!$K127:$K318,"")</f>
        <v>286.8</v>
      </c>
      <c r="F127" s="3">
        <f>_xlfn.XLOOKUP($B127,'Raw Data'!$M127:$M318,'Raw Data'!$O127:$O318,"")</f>
        <v>1713.5</v>
      </c>
      <c r="G127" s="3">
        <f>_xlfn.XLOOKUP($B127,'Raw Data'!$Q127:$Q318,'Raw Data'!$S127:$S318,"")</f>
        <v>0.71430000000000005</v>
      </c>
      <c r="H127" s="3">
        <f>_xlfn.XLOOKUP($B127,'Raw Data'!$U127:$U318,'Raw Data'!$W127:$W318,"")</f>
        <v>3271.12</v>
      </c>
      <c r="I127" s="3">
        <f>_xlfn.XLOOKUP($B127,'Raw Data'!$AG115:$AG294,'Raw Data'!$AI115:$AI294,"")</f>
        <v>53.8</v>
      </c>
    </row>
    <row r="128" spans="2:9" x14ac:dyDescent="0.25">
      <c r="B128" s="1">
        <v>44074</v>
      </c>
      <c r="C128" s="3">
        <f>_xlfn.XLOOKUP($B128,'Raw Data'!$A128:$A319,'Raw Data'!$C128:$C319,0)</f>
        <v>104.3781</v>
      </c>
      <c r="D128" s="3">
        <f>_xlfn.XLOOKUP($B128,'Raw Data'!$E107:$E277,'Raw Data'!$G107:$G277,"")</f>
        <v>125.84</v>
      </c>
      <c r="E128" s="3">
        <f>_xlfn.XLOOKUP($B128,'Raw Data'!$I128:$I319,'Raw Data'!$K128:$K319,"")</f>
        <v>304.10000000000002</v>
      </c>
      <c r="F128" s="3">
        <f>_xlfn.XLOOKUP($B128,'Raw Data'!$M128:$M319,'Raw Data'!$O128:$O319,"")</f>
        <v>1800</v>
      </c>
      <c r="G128" s="3">
        <f>_xlfn.XLOOKUP($B128,'Raw Data'!$Q128:$Q319,'Raw Data'!$S128:$S319,"")</f>
        <v>0.73760000000000003</v>
      </c>
      <c r="H128" s="3">
        <f>_xlfn.XLOOKUP($B128,'Raw Data'!$U128:$U319,'Raw Data'!$W128:$W319,"")</f>
        <v>3500.31</v>
      </c>
      <c r="I128" s="3">
        <f>_xlfn.XLOOKUP($B128,'Raw Data'!$AG116:$AG295,'Raw Data'!$AI116:$AI295,"")</f>
        <v>55.4</v>
      </c>
    </row>
    <row r="129" spans="2:9" x14ac:dyDescent="0.25">
      <c r="B129" s="1">
        <v>44104</v>
      </c>
      <c r="C129" s="3">
        <f>_xlfn.XLOOKUP($B129,'Raw Data'!$A129:$A320,'Raw Data'!$C129:$C320,0)</f>
        <v>102.9462</v>
      </c>
      <c r="D129" s="3">
        <f>_xlfn.XLOOKUP($B129,'Raw Data'!$E108:$E278,'Raw Data'!$G108:$G278,"")</f>
        <v>120.21</v>
      </c>
      <c r="E129" s="3">
        <f>_xlfn.XLOOKUP($B129,'Raw Data'!$I129:$I320,'Raw Data'!$K129:$K320,"")</f>
        <v>303.25</v>
      </c>
      <c r="F129" s="3">
        <f>_xlfn.XLOOKUP($B129,'Raw Data'!$M129:$M320,'Raw Data'!$O129:$O320,"")</f>
        <v>1765</v>
      </c>
      <c r="G129" s="3">
        <f>_xlfn.XLOOKUP($B129,'Raw Data'!$Q129:$Q320,'Raw Data'!$S129:$S320,"")</f>
        <v>0.71619999999999995</v>
      </c>
      <c r="H129" s="3">
        <f>_xlfn.XLOOKUP($B129,'Raw Data'!$U129:$U320,'Raw Data'!$W129:$W320,"")</f>
        <v>3363</v>
      </c>
      <c r="I129" s="3">
        <f>_xlfn.XLOOKUP($B129,'Raw Data'!$AG117:$AG296,'Raw Data'!$AI117:$AI296,"")</f>
        <v>55.5</v>
      </c>
    </row>
    <row r="130" spans="2:9" x14ac:dyDescent="0.25">
      <c r="B130" s="1">
        <v>44135</v>
      </c>
      <c r="C130" s="3">
        <f>_xlfn.XLOOKUP($B130,'Raw Data'!$A130:$A321,'Raw Data'!$C130:$C321,0)</f>
        <v>96.775199999999998</v>
      </c>
      <c r="D130" s="3">
        <f>_xlfn.XLOOKUP($B130,'Raw Data'!$E109:$E279,'Raw Data'!$G109:$G279,"")</f>
        <v>117.15</v>
      </c>
      <c r="E130" s="3">
        <f>_xlfn.XLOOKUP($B130,'Raw Data'!$I130:$I321,'Raw Data'!$K130:$K321,"")</f>
        <v>304.75</v>
      </c>
      <c r="F130" s="3">
        <f>_xlfn.XLOOKUP($B130,'Raw Data'!$M130:$M321,'Raw Data'!$O130:$O321,"")</f>
        <v>1848.5</v>
      </c>
      <c r="G130" s="3">
        <f>_xlfn.XLOOKUP($B130,'Raw Data'!$Q130:$Q321,'Raw Data'!$S130:$S321,"")</f>
        <v>0.70279999999999998</v>
      </c>
      <c r="H130" s="3">
        <f>_xlfn.XLOOKUP($B130,'Raw Data'!$U130:$U321,'Raw Data'!$W130:$W321,"")</f>
        <v>3269.96</v>
      </c>
      <c r="I130" s="3">
        <f>_xlfn.XLOOKUP($B130,'Raw Data'!$AG118:$AG297,'Raw Data'!$AI118:$AI297,"")</f>
        <v>58.7</v>
      </c>
    </row>
    <row r="131" spans="2:9" x14ac:dyDescent="0.25">
      <c r="B131" s="1">
        <v>44165</v>
      </c>
      <c r="C131" s="3">
        <f>_xlfn.XLOOKUP($B131,'Raw Data'!$A131:$A322,'Raw Data'!$C131:$C322,0)</f>
        <v>110.75369999999999</v>
      </c>
      <c r="D131" s="3">
        <f>_xlfn.XLOOKUP($B131,'Raw Data'!$E110:$E280,'Raw Data'!$G110:$G280,"")</f>
        <v>123.6</v>
      </c>
      <c r="E131" s="3">
        <f>_xlfn.XLOOKUP($B131,'Raw Data'!$I131:$I322,'Raw Data'!$K131:$K322,"")</f>
        <v>342.05</v>
      </c>
      <c r="F131" s="3">
        <f>_xlfn.XLOOKUP($B131,'Raw Data'!$M131:$M322,'Raw Data'!$O131:$O322,"")</f>
        <v>2045</v>
      </c>
      <c r="G131" s="3">
        <f>_xlfn.XLOOKUP($B131,'Raw Data'!$Q131:$Q322,'Raw Data'!$S131:$S322,"")</f>
        <v>0.73440000000000005</v>
      </c>
      <c r="H131" s="3">
        <f>_xlfn.XLOOKUP($B131,'Raw Data'!$U131:$U322,'Raw Data'!$W131:$W322,"")</f>
        <v>3621.63</v>
      </c>
      <c r="I131" s="3">
        <f>_xlfn.XLOOKUP($B131,'Raw Data'!$AG119:$AG298,'Raw Data'!$AI119:$AI298,"")</f>
        <v>57.3</v>
      </c>
    </row>
    <row r="132" spans="2:9" x14ac:dyDescent="0.25">
      <c r="B132" s="1">
        <v>44196</v>
      </c>
      <c r="C132" s="3">
        <f>_xlfn.XLOOKUP($B132,'Raw Data'!$A132:$A323,'Raw Data'!$C132:$C323,0)</f>
        <v>128.22669999999999</v>
      </c>
      <c r="D132" s="3">
        <f>_xlfn.XLOOKUP($B132,'Raw Data'!$E111:$E281,'Raw Data'!$G111:$G281,"")</f>
        <v>152.94</v>
      </c>
      <c r="E132" s="3">
        <f>_xlfn.XLOOKUP($B132,'Raw Data'!$I132:$I323,'Raw Data'!$K132:$K323,"")</f>
        <v>351.9</v>
      </c>
      <c r="F132" s="3">
        <f>_xlfn.XLOOKUP($B132,'Raw Data'!$M132:$M323,'Raw Data'!$O132:$O323,"")</f>
        <v>1979.5</v>
      </c>
      <c r="G132" s="3">
        <f>_xlfn.XLOOKUP($B132,'Raw Data'!$Q132:$Q323,'Raw Data'!$S132:$S323,"")</f>
        <v>0.76939999999999997</v>
      </c>
      <c r="H132" s="3">
        <f>_xlfn.XLOOKUP($B132,'Raw Data'!$U132:$U323,'Raw Data'!$W132:$W323,"")</f>
        <v>3756.07</v>
      </c>
      <c r="I132" s="3">
        <f>_xlfn.XLOOKUP($B132,'Raw Data'!$AG120:$AG299,'Raw Data'!$AI120:$AI299,"")</f>
        <v>60.2</v>
      </c>
    </row>
    <row r="133" spans="2:9" x14ac:dyDescent="0.25">
      <c r="B133" s="1">
        <v>44227</v>
      </c>
      <c r="C133" s="3">
        <f>_xlfn.XLOOKUP($B133,'Raw Data'!$A133:$A324,'Raw Data'!$C133:$C324,0)</f>
        <v>130.2724</v>
      </c>
      <c r="D133" s="3">
        <f>_xlfn.XLOOKUP($B133,'Raw Data'!$E112:$E282,'Raw Data'!$G112:$G282,"")</f>
        <v>156.06</v>
      </c>
      <c r="E133" s="3">
        <f>_xlfn.XLOOKUP($B133,'Raw Data'!$I133:$I324,'Raw Data'!$K133:$K324,"")</f>
        <v>355.6</v>
      </c>
      <c r="F133" s="3">
        <f>_xlfn.XLOOKUP($B133,'Raw Data'!$M133:$M324,'Raw Data'!$O133:$O324,"")</f>
        <v>1977.5</v>
      </c>
      <c r="G133" s="3">
        <f>_xlfn.XLOOKUP($B133,'Raw Data'!$Q133:$Q324,'Raw Data'!$S133:$S324,"")</f>
        <v>0.76439999999999997</v>
      </c>
      <c r="H133" s="3">
        <f>_xlfn.XLOOKUP($B133,'Raw Data'!$U133:$U324,'Raw Data'!$W133:$W324,"")</f>
        <v>3714.24</v>
      </c>
      <c r="I133" s="3">
        <f>_xlfn.XLOOKUP($B133,'Raw Data'!$AG121:$AG300,'Raw Data'!$AI121:$AI300,"")</f>
        <v>59.2</v>
      </c>
    </row>
    <row r="134" spans="2:9" x14ac:dyDescent="0.25">
      <c r="B134" s="1">
        <v>44255</v>
      </c>
      <c r="C134" s="3">
        <f>_xlfn.XLOOKUP($B134,'Raw Data'!$A134:$A325,'Raw Data'!$C134:$C325,0)</f>
        <v>148.9898</v>
      </c>
      <c r="D134" s="3">
        <f>_xlfn.XLOOKUP($B134,'Raw Data'!$E113:$E283,'Raw Data'!$G113:$G283,"")</f>
        <v>165.38</v>
      </c>
      <c r="E134" s="3">
        <f>_xlfn.XLOOKUP($B134,'Raw Data'!$I134:$I325,'Raw Data'!$K134:$K325,"")</f>
        <v>409.45</v>
      </c>
      <c r="F134" s="3">
        <f>_xlfn.XLOOKUP($B134,'Raw Data'!$M134:$M325,'Raw Data'!$O134:$O325,"")</f>
        <v>2154.5</v>
      </c>
      <c r="G134" s="3">
        <f>_xlfn.XLOOKUP($B134,'Raw Data'!$Q134:$Q325,'Raw Data'!$S134:$S325,"")</f>
        <v>0.77059999999999995</v>
      </c>
      <c r="H134" s="3">
        <f>_xlfn.XLOOKUP($B134,'Raw Data'!$U134:$U325,'Raw Data'!$W134:$W325,"")</f>
        <v>3811.15</v>
      </c>
      <c r="I134" s="3">
        <f>_xlfn.XLOOKUP($B134,'Raw Data'!$AG122:$AG301,'Raw Data'!$AI122:$AI301,"")</f>
        <v>60.4</v>
      </c>
    </row>
    <row r="135" spans="2:9" x14ac:dyDescent="0.25">
      <c r="B135" s="1">
        <v>44286</v>
      </c>
      <c r="C135" s="3">
        <f>_xlfn.XLOOKUP($B135,'Raw Data'!$A135:$A326,'Raw Data'!$C135:$C326,0)</f>
        <v>138.8664</v>
      </c>
      <c r="D135" s="3">
        <f>_xlfn.XLOOKUP($B135,'Raw Data'!$E114:$E284,'Raw Data'!$G114:$G284,"")</f>
        <v>154.24</v>
      </c>
      <c r="E135" s="3">
        <f>_xlfn.XLOOKUP($B135,'Raw Data'!$I135:$I326,'Raw Data'!$K135:$K326,"")</f>
        <v>399.55</v>
      </c>
      <c r="F135" s="3">
        <f>_xlfn.XLOOKUP($B135,'Raw Data'!$M135:$M326,'Raw Data'!$O135:$O326,"")</f>
        <v>2212</v>
      </c>
      <c r="G135" s="3">
        <f>_xlfn.XLOOKUP($B135,'Raw Data'!$Q135:$Q326,'Raw Data'!$S135:$S326,"")</f>
        <v>0.75980000000000003</v>
      </c>
      <c r="H135" s="3">
        <f>_xlfn.XLOOKUP($B135,'Raw Data'!$U135:$U326,'Raw Data'!$W135:$W326,"")</f>
        <v>3972.89</v>
      </c>
      <c r="I135" s="3">
        <f>_xlfn.XLOOKUP($B135,'Raw Data'!$AG123:$AG302,'Raw Data'!$AI123:$AI302,"")</f>
        <v>63.8</v>
      </c>
    </row>
    <row r="136" spans="2:9" x14ac:dyDescent="0.25">
      <c r="B136" s="1">
        <v>44316</v>
      </c>
      <c r="C136" s="3">
        <f>_xlfn.XLOOKUP($B136,'Raw Data'!$A136:$A327,'Raw Data'!$C136:$C327,0)</f>
        <v>152.1181</v>
      </c>
      <c r="D136" s="3">
        <f>_xlfn.XLOOKUP($B136,'Raw Data'!$E115:$E285,'Raw Data'!$G115:$G285,"")</f>
        <v>184.19</v>
      </c>
      <c r="E136" s="3">
        <f>_xlfn.XLOOKUP($B136,'Raw Data'!$I136:$I327,'Raw Data'!$K136:$K327,"")</f>
        <v>447.9</v>
      </c>
      <c r="F136" s="3">
        <f>_xlfn.XLOOKUP($B136,'Raw Data'!$M136:$M327,'Raw Data'!$O136:$O327,"")</f>
        <v>2397</v>
      </c>
      <c r="G136" s="3">
        <f>_xlfn.XLOOKUP($B136,'Raw Data'!$Q136:$Q327,'Raw Data'!$S136:$S327,"")</f>
        <v>0.77159999999999995</v>
      </c>
      <c r="H136" s="3">
        <f>_xlfn.XLOOKUP($B136,'Raw Data'!$U136:$U327,'Raw Data'!$W136:$W327,"")</f>
        <v>4181.17</v>
      </c>
      <c r="I136" s="3">
        <f>_xlfn.XLOOKUP($B136,'Raw Data'!$AG124:$AG303,'Raw Data'!$AI124:$AI303,"")</f>
        <v>60.8</v>
      </c>
    </row>
    <row r="137" spans="2:9" x14ac:dyDescent="0.25">
      <c r="B137" s="1">
        <v>44347</v>
      </c>
      <c r="C137" s="3">
        <f>_xlfn.XLOOKUP($B137,'Raw Data'!$A137:$A328,'Raw Data'!$C137:$C328,0)</f>
        <v>156.35650000000001</v>
      </c>
      <c r="D137" s="3">
        <f>_xlfn.XLOOKUP($B137,'Raw Data'!$E116:$E286,'Raw Data'!$G116:$G286,"")</f>
        <v>200.91</v>
      </c>
      <c r="E137" s="3">
        <f>_xlfn.XLOOKUP($B137,'Raw Data'!$I137:$I328,'Raw Data'!$K137:$K328,"")</f>
        <v>467.75</v>
      </c>
      <c r="F137" s="3">
        <f>_xlfn.XLOOKUP($B137,'Raw Data'!$M137:$M328,'Raw Data'!$O137:$O328,"")</f>
        <v>2483</v>
      </c>
      <c r="G137" s="3">
        <f>_xlfn.XLOOKUP($B137,'Raw Data'!$Q137:$Q328,'Raw Data'!$S137:$S328,"")</f>
        <v>0.77339999999999998</v>
      </c>
      <c r="H137" s="3">
        <f>_xlfn.XLOOKUP($B137,'Raw Data'!$U137:$U328,'Raw Data'!$W137:$W328,"")</f>
        <v>4204.1099999999997</v>
      </c>
      <c r="I137" s="3">
        <f>_xlfn.XLOOKUP($B137,'Raw Data'!$AG125:$AG304,'Raw Data'!$AI125:$AI304,"")</f>
        <v>61.6</v>
      </c>
    </row>
    <row r="138" spans="2:9" x14ac:dyDescent="0.25">
      <c r="B138" s="1">
        <v>44377</v>
      </c>
      <c r="C138" s="3">
        <f>_xlfn.XLOOKUP($B138,'Raw Data'!$A138:$A329,'Raw Data'!$C138:$C329,0)</f>
        <v>150.0257</v>
      </c>
      <c r="D138" s="3">
        <f>_xlfn.XLOOKUP($B138,'Raw Data'!$E117:$E287,'Raw Data'!$G117:$G287,"")</f>
        <v>211.21</v>
      </c>
      <c r="E138" s="3">
        <f>_xlfn.XLOOKUP($B138,'Raw Data'!$I138:$I329,'Raw Data'!$K138:$K329,"")</f>
        <v>429.65</v>
      </c>
      <c r="F138" s="3">
        <f>_xlfn.XLOOKUP($B138,'Raw Data'!$M138:$M329,'Raw Data'!$O138:$O329,"")</f>
        <v>2523.5</v>
      </c>
      <c r="G138" s="3">
        <f>_xlfn.XLOOKUP($B138,'Raw Data'!$Q138:$Q329,'Raw Data'!$S138:$S329,"")</f>
        <v>0.74980000000000002</v>
      </c>
      <c r="H138" s="3">
        <f>_xlfn.XLOOKUP($B138,'Raw Data'!$U138:$U329,'Raw Data'!$W138:$W329,"")</f>
        <v>4297.5</v>
      </c>
      <c r="I138" s="3">
        <f>_xlfn.XLOOKUP($B138,'Raw Data'!$AG126:$AG305,'Raw Data'!$AI126:$AI305,"")</f>
        <v>61.3</v>
      </c>
    </row>
    <row r="139" spans="2:9" x14ac:dyDescent="0.25">
      <c r="B139" s="1">
        <v>44408</v>
      </c>
      <c r="C139" s="3">
        <f>_xlfn.XLOOKUP($B139,'Raw Data'!$A139:$A330,'Raw Data'!$C139:$C330,0)</f>
        <v>154.3536</v>
      </c>
      <c r="D139" s="3">
        <f>_xlfn.XLOOKUP($B139,'Raw Data'!$E118:$E288,'Raw Data'!$G118:$G288,"")</f>
        <v>178.63</v>
      </c>
      <c r="E139" s="3">
        <f>_xlfn.XLOOKUP($B139,'Raw Data'!$I139:$I330,'Raw Data'!$K139:$K330,"")</f>
        <v>448.25</v>
      </c>
      <c r="F139" s="3">
        <f>_xlfn.XLOOKUP($B139,'Raw Data'!$M139:$M330,'Raw Data'!$O139:$O330,"")</f>
        <v>2590</v>
      </c>
      <c r="G139" s="3">
        <f>_xlfn.XLOOKUP($B139,'Raw Data'!$Q139:$Q330,'Raw Data'!$S139:$S330,"")</f>
        <v>0.73440000000000005</v>
      </c>
      <c r="H139" s="3">
        <f>_xlfn.XLOOKUP($B139,'Raw Data'!$U139:$U330,'Raw Data'!$W139:$W330,"")</f>
        <v>4395.26</v>
      </c>
      <c r="I139" s="3">
        <f>_xlfn.XLOOKUP($B139,'Raw Data'!$AG127:$AG306,'Raw Data'!$AI127:$AI306,"")</f>
        <v>60.2</v>
      </c>
    </row>
    <row r="140" spans="2:9" x14ac:dyDescent="0.25">
      <c r="B140" s="1">
        <v>44439</v>
      </c>
      <c r="C140" s="3">
        <f>_xlfn.XLOOKUP($B140,'Raw Data'!$A140:$A331,'Raw Data'!$C140:$C331,0)</f>
        <v>143.76669999999999</v>
      </c>
      <c r="D140" s="3">
        <f>_xlfn.XLOOKUP($B140,'Raw Data'!$E119:$E289,'Raw Data'!$G119:$G289,"")</f>
        <v>153.13999999999999</v>
      </c>
      <c r="E140" s="3">
        <f>_xlfn.XLOOKUP($B140,'Raw Data'!$I140:$I331,'Raw Data'!$K140:$K331,"")</f>
        <v>436</v>
      </c>
      <c r="F140" s="3">
        <f>_xlfn.XLOOKUP($B140,'Raw Data'!$M140:$M331,'Raw Data'!$O140:$O331,"")</f>
        <v>2718</v>
      </c>
      <c r="G140" s="3">
        <f>_xlfn.XLOOKUP($B140,'Raw Data'!$Q140:$Q331,'Raw Data'!$S140:$S331,"")</f>
        <v>0.73160000000000003</v>
      </c>
      <c r="H140" s="3">
        <f>_xlfn.XLOOKUP($B140,'Raw Data'!$U140:$U331,'Raw Data'!$W140:$W331,"")</f>
        <v>4522.68</v>
      </c>
      <c r="I140" s="3">
        <f>_xlfn.XLOOKUP($B140,'Raw Data'!$AG128:$AG307,'Raw Data'!$AI128:$AI307,"")</f>
        <v>59.8</v>
      </c>
    </row>
    <row r="141" spans="2:9" x14ac:dyDescent="0.25">
      <c r="B141" s="1">
        <v>44469</v>
      </c>
      <c r="C141" s="3">
        <f>_xlfn.XLOOKUP($B141,'Raw Data'!$A141:$A332,'Raw Data'!$C141:$C332,0)</f>
        <v>127.9671</v>
      </c>
      <c r="D141" s="3">
        <f>_xlfn.XLOOKUP($B141,'Raw Data'!$E120:$E290,'Raw Data'!$G120:$G290,"")</f>
        <v>120.43</v>
      </c>
      <c r="E141" s="3">
        <f>_xlfn.XLOOKUP($B141,'Raw Data'!$I141:$I332,'Raw Data'!$K141:$K332,"")</f>
        <v>408.9</v>
      </c>
      <c r="F141" s="3">
        <f>_xlfn.XLOOKUP($B141,'Raw Data'!$M141:$M332,'Raw Data'!$O141:$O332,"")</f>
        <v>2858.5</v>
      </c>
      <c r="G141" s="3">
        <f>_xlfn.XLOOKUP($B141,'Raw Data'!$Q141:$Q332,'Raw Data'!$S141:$S332,"")</f>
        <v>0.72270000000000001</v>
      </c>
      <c r="H141" s="3">
        <f>_xlfn.XLOOKUP($B141,'Raw Data'!$U141:$U332,'Raw Data'!$W141:$W332,"")</f>
        <v>4307.54</v>
      </c>
      <c r="I141" s="3">
        <f>_xlfn.XLOOKUP($B141,'Raw Data'!$AG129:$AG308,'Raw Data'!$AI129:$AI308,"")</f>
        <v>60.8</v>
      </c>
    </row>
    <row r="142" spans="2:9" x14ac:dyDescent="0.25">
      <c r="B142" s="1">
        <v>44500</v>
      </c>
      <c r="C142" s="3">
        <f>_xlfn.XLOOKUP($B142,'Raw Data'!$A142:$A333,'Raw Data'!$C142:$C333,0)</f>
        <v>121.16849999999999</v>
      </c>
      <c r="D142" s="3">
        <f>_xlfn.XLOOKUP($B142,'Raw Data'!$E121:$E291,'Raw Data'!$G121:$G291,"")</f>
        <v>110.28</v>
      </c>
      <c r="E142" s="3">
        <f>_xlfn.XLOOKUP($B142,'Raw Data'!$I142:$I333,'Raw Data'!$K142:$K333,"")</f>
        <v>436.8</v>
      </c>
      <c r="F142" s="3">
        <f>_xlfn.XLOOKUP($B142,'Raw Data'!$M142:$M333,'Raw Data'!$O142:$O333,"")</f>
        <v>2716.5</v>
      </c>
      <c r="G142" s="3">
        <f>_xlfn.XLOOKUP($B142,'Raw Data'!$Q142:$Q333,'Raw Data'!$S142:$S333,"")</f>
        <v>0.75180000000000002</v>
      </c>
      <c r="H142" s="3">
        <f>_xlfn.XLOOKUP($B142,'Raw Data'!$U142:$U333,'Raw Data'!$W142:$W333,"")</f>
        <v>4605.38</v>
      </c>
      <c r="I142" s="3">
        <f>_xlfn.XLOOKUP($B142,'Raw Data'!$AG130:$AG309,'Raw Data'!$AI130:$AI309,"")</f>
        <v>60.7</v>
      </c>
    </row>
    <row r="143" spans="2:9" x14ac:dyDescent="0.25">
      <c r="B143" s="1">
        <v>44530</v>
      </c>
      <c r="C143" s="3">
        <f>_xlfn.XLOOKUP($B143,'Raw Data'!$A143:$A334,'Raw Data'!$C143:$C334,0)</f>
        <v>120.0578</v>
      </c>
      <c r="D143" s="3">
        <f>_xlfn.XLOOKUP($B143,'Raw Data'!$E122:$E292,'Raw Data'!$G122:$G292,"")</f>
        <v>94.39</v>
      </c>
      <c r="E143" s="3">
        <f>_xlfn.XLOOKUP($B143,'Raw Data'!$I143:$I334,'Raw Data'!$K143:$K334,"")</f>
        <v>427.8</v>
      </c>
      <c r="F143" s="3">
        <f>_xlfn.XLOOKUP($B143,'Raw Data'!$M143:$M334,'Raw Data'!$O143:$O334,"")</f>
        <v>2625</v>
      </c>
      <c r="G143" s="3">
        <f>_xlfn.XLOOKUP($B143,'Raw Data'!$Q143:$Q334,'Raw Data'!$S143:$S334,"")</f>
        <v>0.7127</v>
      </c>
      <c r="H143" s="3">
        <f>_xlfn.XLOOKUP($B143,'Raw Data'!$U143:$U334,'Raw Data'!$W143:$W334,"")</f>
        <v>4567</v>
      </c>
      <c r="I143" s="3">
        <f>_xlfn.XLOOKUP($B143,'Raw Data'!$AG131:$AG310,'Raw Data'!$AI131:$AI310,"")</f>
        <v>60.8</v>
      </c>
    </row>
    <row r="144" spans="2:9" x14ac:dyDescent="0.25">
      <c r="B144" s="1">
        <v>44561</v>
      </c>
      <c r="C144" s="3">
        <f>_xlfn.XLOOKUP($B144,'Raw Data'!$A144:$A335,'Raw Data'!$C144:$C335,0)</f>
        <v>128.1969</v>
      </c>
      <c r="D144" s="3">
        <f>_xlfn.XLOOKUP($B144,'Raw Data'!$E123:$E293,'Raw Data'!$G123:$G293,"")</f>
        <v>114.09</v>
      </c>
      <c r="E144" s="3">
        <f>_xlfn.XLOOKUP($B144,'Raw Data'!$I144:$I335,'Raw Data'!$K144:$K335,"")</f>
        <v>446.35</v>
      </c>
      <c r="F144" s="3">
        <f>_xlfn.XLOOKUP($B144,'Raw Data'!$M144:$M335,'Raw Data'!$O144:$O335,"")</f>
        <v>2807.5</v>
      </c>
      <c r="G144" s="3">
        <f>_xlfn.XLOOKUP($B144,'Raw Data'!$Q144:$Q335,'Raw Data'!$S144:$S335,"")</f>
        <v>0.72629999999999995</v>
      </c>
      <c r="H144" s="3">
        <f>_xlfn.XLOOKUP($B144,'Raw Data'!$U144:$U335,'Raw Data'!$W144:$W335,"")</f>
        <v>4766.18</v>
      </c>
      <c r="I144" s="3">
        <f>_xlfn.XLOOKUP($B144,'Raw Data'!$AG132:$AG311,'Raw Data'!$AI132:$AI311,"")</f>
        <v>58.3</v>
      </c>
    </row>
    <row r="145" spans="2:9" x14ac:dyDescent="0.25">
      <c r="B145" s="1">
        <v>44592</v>
      </c>
      <c r="C145" s="3">
        <f>_xlfn.XLOOKUP($B145,'Raw Data'!$A145:$A336,'Raw Data'!$C145:$C336,0)</f>
        <v>136.73830000000001</v>
      </c>
      <c r="D145" s="3">
        <f>_xlfn.XLOOKUP($B145,'Raw Data'!$E124:$E294,'Raw Data'!$G124:$G294,"")</f>
        <v>132.5</v>
      </c>
      <c r="E145" s="3">
        <f>_xlfn.XLOOKUP($B145,'Raw Data'!$I145:$I336,'Raw Data'!$K145:$K336,"")</f>
        <v>432.45</v>
      </c>
      <c r="F145" s="3">
        <f>_xlfn.XLOOKUP($B145,'Raw Data'!$M145:$M336,'Raw Data'!$O145:$O336,"")</f>
        <v>3021</v>
      </c>
      <c r="G145" s="3">
        <f>_xlfn.XLOOKUP($B145,'Raw Data'!$Q145:$Q336,'Raw Data'!$S145:$S336,"")</f>
        <v>0.70669999999999999</v>
      </c>
      <c r="H145" s="3">
        <f>_xlfn.XLOOKUP($B145,'Raw Data'!$U145:$U336,'Raw Data'!$W145:$W336,"")</f>
        <v>4515.55</v>
      </c>
      <c r="I145" s="3">
        <f>_xlfn.XLOOKUP($B145,'Raw Data'!$AG133:$AG312,'Raw Data'!$AI133:$AI312,"")</f>
        <v>57.4</v>
      </c>
    </row>
    <row r="146" spans="2:9" x14ac:dyDescent="0.25">
      <c r="B146" s="1">
        <v>44620</v>
      </c>
      <c r="C146" s="3">
        <f>_xlfn.XLOOKUP($B146,'Raw Data'!$A146:$A337,'Raw Data'!$C146:$C337,0)</f>
        <v>150.48869999999999</v>
      </c>
      <c r="D146" s="3">
        <f>_xlfn.XLOOKUP($B146,'Raw Data'!$E125:$E295,'Raw Data'!$G125:$G295,"")</f>
        <v>126.25</v>
      </c>
      <c r="E146" s="3">
        <f>_xlfn.XLOOKUP($B146,'Raw Data'!$I146:$I337,'Raw Data'!$K146:$K337,"")</f>
        <v>444.45</v>
      </c>
      <c r="F146" s="3">
        <f>_xlfn.XLOOKUP($B146,'Raw Data'!$M146:$M337,'Raw Data'!$O146:$O337,"")</f>
        <v>3368.5</v>
      </c>
      <c r="G146" s="3">
        <f>_xlfn.XLOOKUP($B146,'Raw Data'!$Q146:$Q337,'Raw Data'!$S146:$S337,"")</f>
        <v>0.72629999999999995</v>
      </c>
      <c r="H146" s="3">
        <f>_xlfn.XLOOKUP($B146,'Raw Data'!$U146:$U337,'Raw Data'!$W146:$W337,"")</f>
        <v>4373.9399999999996</v>
      </c>
      <c r="I146" s="3">
        <f>_xlfn.XLOOKUP($B146,'Raw Data'!$AG134:$AG313,'Raw Data'!$AI134:$AI313,"")</f>
        <v>58.1</v>
      </c>
    </row>
    <row r="147" spans="2:9" x14ac:dyDescent="0.25">
      <c r="B147" s="1">
        <v>44651</v>
      </c>
      <c r="C147" s="3">
        <f>_xlfn.XLOOKUP($B147,'Raw Data'!$A147:$A338,'Raw Data'!$C147:$C338,0)</f>
        <v>163.8278</v>
      </c>
      <c r="D147" s="3">
        <f>_xlfn.XLOOKUP($B147,'Raw Data'!$E126:$E296,'Raw Data'!$G126:$G296,"")</f>
        <v>142.49</v>
      </c>
      <c r="E147" s="3">
        <f>_xlfn.XLOOKUP($B147,'Raw Data'!$I147:$I338,'Raw Data'!$K147:$K338,"")</f>
        <v>475.1</v>
      </c>
      <c r="F147" s="3">
        <f>_xlfn.XLOOKUP($B147,'Raw Data'!$M147:$M338,'Raw Data'!$O147:$O338,"")</f>
        <v>3491</v>
      </c>
      <c r="G147" s="3">
        <f>_xlfn.XLOOKUP($B147,'Raw Data'!$Q147:$Q338,'Raw Data'!$S147:$S338,"")</f>
        <v>0.74819999999999998</v>
      </c>
      <c r="H147" s="3">
        <f>_xlfn.XLOOKUP($B147,'Raw Data'!$U147:$U338,'Raw Data'!$W147:$W338,"")</f>
        <v>4530.41</v>
      </c>
      <c r="I147" s="3">
        <f>_xlfn.XLOOKUP($B147,'Raw Data'!$AG135:$AG314,'Raw Data'!$AI135:$AI314,"")</f>
        <v>57.2</v>
      </c>
    </row>
    <row r="148" spans="2:9" x14ac:dyDescent="0.25">
      <c r="B148" s="1">
        <v>44681</v>
      </c>
      <c r="C148" s="3">
        <f>_xlfn.XLOOKUP($B148,'Raw Data'!$A148:$A339,'Raw Data'!$C148:$C339,0)</f>
        <v>144.91829999999999</v>
      </c>
      <c r="D148" s="3">
        <f>_xlfn.XLOOKUP($B148,'Raw Data'!$E127:$E297,'Raw Data'!$G127:$G297,"")</f>
        <v>133.59</v>
      </c>
      <c r="E148" s="3">
        <f>_xlfn.XLOOKUP($B148,'Raw Data'!$I148:$I339,'Raw Data'!$K148:$K339,"")</f>
        <v>439.5</v>
      </c>
      <c r="F148" s="3">
        <f>_xlfn.XLOOKUP($B148,'Raw Data'!$M148:$M339,'Raw Data'!$O148:$O339,"")</f>
        <v>3052.5</v>
      </c>
      <c r="G148" s="3">
        <f>_xlfn.XLOOKUP($B148,'Raw Data'!$Q148:$Q339,'Raw Data'!$S148:$S339,"")</f>
        <v>0.70609999999999995</v>
      </c>
      <c r="H148" s="3">
        <f>_xlfn.XLOOKUP($B148,'Raw Data'!$U148:$U339,'Raw Data'!$W148:$W339,"")</f>
        <v>4131.93</v>
      </c>
      <c r="I148" s="3">
        <f>_xlfn.XLOOKUP($B148,'Raw Data'!$AG136:$AG315,'Raw Data'!$AI136:$AI315,"")</f>
        <v>55.3</v>
      </c>
    </row>
    <row r="149" spans="2:9" x14ac:dyDescent="0.25">
      <c r="B149" s="1">
        <v>44712</v>
      </c>
      <c r="C149" s="3">
        <f>_xlfn.XLOOKUP($B149,'Raw Data'!$A149:$A340,'Raw Data'!$C149:$C340,0)</f>
        <v>149.6456</v>
      </c>
      <c r="D149" s="3">
        <f>_xlfn.XLOOKUP($B149,'Raw Data'!$E128:$E298,'Raw Data'!$G128:$G298,"")</f>
        <v>133.34</v>
      </c>
      <c r="E149" s="3">
        <f>_xlfn.XLOOKUP($B149,'Raw Data'!$I149:$I340,'Raw Data'!$K149:$K340,"")</f>
        <v>429.6</v>
      </c>
      <c r="F149" s="3">
        <f>_xlfn.XLOOKUP($B149,'Raw Data'!$M149:$M340,'Raw Data'!$O149:$O340,"")</f>
        <v>2787</v>
      </c>
      <c r="G149" s="3">
        <f>_xlfn.XLOOKUP($B149,'Raw Data'!$Q149:$Q340,'Raw Data'!$S149:$S340,"")</f>
        <v>0.7177</v>
      </c>
      <c r="H149" s="3">
        <f>_xlfn.XLOOKUP($B149,'Raw Data'!$U149:$U340,'Raw Data'!$W149:$W340,"")</f>
        <v>4132.1499999999996</v>
      </c>
      <c r="I149" s="3">
        <f>_xlfn.XLOOKUP($B149,'Raw Data'!$AG137:$AG316,'Raw Data'!$AI137:$AI316,"")</f>
        <v>55.9</v>
      </c>
    </row>
    <row r="150" spans="2:9" x14ac:dyDescent="0.25">
      <c r="B150" s="1">
        <v>44742</v>
      </c>
      <c r="C150" s="3">
        <f>_xlfn.XLOOKUP($B150,'Raw Data'!$A150:$A341,'Raw Data'!$C150:$C341,0)</f>
        <v>124.2972</v>
      </c>
      <c r="D150" s="3">
        <f>_xlfn.XLOOKUP($B150,'Raw Data'!$E129:$E299,'Raw Data'!$G129:$G299,"")</f>
        <v>115.53</v>
      </c>
      <c r="E150" s="3">
        <f>_xlfn.XLOOKUP($B150,'Raw Data'!$I150:$I341,'Raw Data'!$K150:$K341,"")</f>
        <v>371.45</v>
      </c>
      <c r="F150" s="3">
        <f>_xlfn.XLOOKUP($B150,'Raw Data'!$M150:$M341,'Raw Data'!$O150:$O341,"")</f>
        <v>2445.5</v>
      </c>
      <c r="G150" s="3">
        <f>_xlfn.XLOOKUP($B150,'Raw Data'!$Q150:$Q341,'Raw Data'!$S150:$S341,"")</f>
        <v>0.69030000000000002</v>
      </c>
      <c r="H150" s="3">
        <f>_xlfn.XLOOKUP($B150,'Raw Data'!$U150:$U341,'Raw Data'!$W150:$W341,"")</f>
        <v>3785.38</v>
      </c>
      <c r="I150" s="3">
        <f>_xlfn.XLOOKUP($B150,'Raw Data'!$AG138:$AG317,'Raw Data'!$AI138:$AI317,"")</f>
        <v>53.5</v>
      </c>
    </row>
    <row r="151" spans="2:9" x14ac:dyDescent="0.25">
      <c r="B151" s="1">
        <v>44773</v>
      </c>
      <c r="C151" s="3">
        <f>_xlfn.XLOOKUP($B151,'Raw Data'!$A151:$A342,'Raw Data'!$C151:$C342,0)</f>
        <v>124.3583</v>
      </c>
      <c r="D151" s="3">
        <f>_xlfn.XLOOKUP($B151,'Raw Data'!$E130:$E300,'Raw Data'!$G130:$G300,"")</f>
        <v>104.32</v>
      </c>
      <c r="E151" s="3">
        <f>_xlfn.XLOOKUP($B151,'Raw Data'!$I151:$I342,'Raw Data'!$K151:$K342,"")</f>
        <v>357.35</v>
      </c>
      <c r="F151" s="3">
        <f>_xlfn.XLOOKUP($B151,'Raw Data'!$M151:$M342,'Raw Data'!$O151:$O342,"")</f>
        <v>2488.5</v>
      </c>
      <c r="G151" s="3">
        <f>_xlfn.XLOOKUP($B151,'Raw Data'!$Q151:$Q342,'Raw Data'!$S151:$S342,"")</f>
        <v>0.69850000000000001</v>
      </c>
      <c r="H151" s="3">
        <f>_xlfn.XLOOKUP($B151,'Raw Data'!$U151:$U342,'Raw Data'!$W151:$W342,"")</f>
        <v>4130.29</v>
      </c>
      <c r="I151" s="3">
        <f>_xlfn.XLOOKUP($B151,'Raw Data'!$AG139:$AG318,'Raw Data'!$AI139:$AI318,"")</f>
        <v>52.9</v>
      </c>
    </row>
    <row r="152" spans="2:9" x14ac:dyDescent="0.25">
      <c r="B152" s="1">
        <v>44804</v>
      </c>
      <c r="C152" s="3">
        <f>_xlfn.XLOOKUP($B152,'Raw Data'!$A152:$A343,'Raw Data'!$C152:$C343,0)</f>
        <v>119.8056</v>
      </c>
      <c r="D152" s="3">
        <f>_xlfn.XLOOKUP($B152,'Raw Data'!$E131:$E301,'Raw Data'!$G131:$G301,"")</f>
        <v>95.25</v>
      </c>
      <c r="E152" s="3">
        <f>_xlfn.XLOOKUP($B152,'Raw Data'!$I152:$I343,'Raw Data'!$K152:$K343,"")</f>
        <v>351.85</v>
      </c>
      <c r="F152" s="3">
        <f>_xlfn.XLOOKUP($B152,'Raw Data'!$M152:$M343,'Raw Data'!$O152:$O343,"")</f>
        <v>2359</v>
      </c>
      <c r="G152" s="3">
        <f>_xlfn.XLOOKUP($B152,'Raw Data'!$Q152:$Q343,'Raw Data'!$S152:$S343,"")</f>
        <v>0.68420000000000003</v>
      </c>
      <c r="H152" s="3">
        <f>_xlfn.XLOOKUP($B152,'Raw Data'!$U152:$U343,'Raw Data'!$W152:$W343,"")</f>
        <v>3955</v>
      </c>
      <c r="I152" s="3">
        <f>_xlfn.XLOOKUP($B152,'Raw Data'!$AG140:$AG319,'Raw Data'!$AI140:$AI319,"")</f>
        <v>53</v>
      </c>
    </row>
    <row r="153" spans="2:9" x14ac:dyDescent="0.25">
      <c r="B153" s="1">
        <v>44834</v>
      </c>
      <c r="C153" s="3">
        <f>_xlfn.XLOOKUP($B153,'Raw Data'!$A153:$A344,'Raw Data'!$C153:$C344,0)</f>
        <v>117.1878</v>
      </c>
      <c r="D153" s="3">
        <f>_xlfn.XLOOKUP($B153,'Raw Data'!$E132:$E302,'Raw Data'!$G132:$G302,"")</f>
        <v>95.6</v>
      </c>
      <c r="E153" s="3">
        <f>_xlfn.XLOOKUP($B153,'Raw Data'!$I153:$I344,'Raw Data'!$K153:$K344,"")</f>
        <v>341.25</v>
      </c>
      <c r="F153" s="3">
        <f>_xlfn.XLOOKUP($B153,'Raw Data'!$M153:$M344,'Raw Data'!$O153:$O344,"")</f>
        <v>2162</v>
      </c>
      <c r="G153" s="3">
        <f>_xlfn.XLOOKUP($B153,'Raw Data'!$Q153:$Q344,'Raw Data'!$S153:$S344,"")</f>
        <v>0.64</v>
      </c>
      <c r="H153" s="3">
        <f>_xlfn.XLOOKUP($B153,'Raw Data'!$U153:$U344,'Raw Data'!$W153:$W344,"")</f>
        <v>3585.62</v>
      </c>
      <c r="I153" s="3">
        <f>_xlfn.XLOOKUP($B153,'Raw Data'!$AG141:$AG320,'Raw Data'!$AI141:$AI320,"")</f>
        <v>51.1</v>
      </c>
    </row>
    <row r="154" spans="2:9" x14ac:dyDescent="0.25">
      <c r="B154" s="1">
        <v>44865</v>
      </c>
      <c r="C154" s="3">
        <f>_xlfn.XLOOKUP($B154,'Raw Data'!$A154:$A345,'Raw Data'!$C154:$C345,0)</f>
        <v>113.5483</v>
      </c>
      <c r="D154" s="3">
        <f>_xlfn.XLOOKUP($B154,'Raw Data'!$E133:$E303,'Raw Data'!$G133:$G303,"")</f>
        <v>78.91</v>
      </c>
      <c r="E154" s="3">
        <f>_xlfn.XLOOKUP($B154,'Raw Data'!$I154:$I345,'Raw Data'!$K154:$K345,"")</f>
        <v>337.5</v>
      </c>
      <c r="F154" s="3">
        <f>_xlfn.XLOOKUP($B154,'Raw Data'!$M154:$M345,'Raw Data'!$O154:$O345,"")</f>
        <v>2222</v>
      </c>
      <c r="G154" s="3">
        <f>_xlfn.XLOOKUP($B154,'Raw Data'!$Q154:$Q345,'Raw Data'!$S154:$S345,"")</f>
        <v>0.63990000000000002</v>
      </c>
      <c r="H154" s="3">
        <f>_xlfn.XLOOKUP($B154,'Raw Data'!$U154:$U345,'Raw Data'!$W154:$W345,"")</f>
        <v>3871.98</v>
      </c>
      <c r="I154" s="3">
        <f>_xlfn.XLOOKUP($B154,'Raw Data'!$AG142:$AG321,'Raw Data'!$AI142:$AI321,"")</f>
        <v>50.3</v>
      </c>
    </row>
    <row r="155" spans="2:9" x14ac:dyDescent="0.25">
      <c r="B155" s="1">
        <v>44895</v>
      </c>
      <c r="C155" s="3">
        <f>_xlfn.XLOOKUP($B155,'Raw Data'!$A155:$A346,'Raw Data'!$C155:$C346,0)</f>
        <v>146.09100000000001</v>
      </c>
      <c r="D155" s="3">
        <f>_xlfn.XLOOKUP($B155,'Raw Data'!$E134:$E304,'Raw Data'!$G134:$G304,"")</f>
        <v>96.91</v>
      </c>
      <c r="E155" s="3">
        <f>_xlfn.XLOOKUP($B155,'Raw Data'!$I155:$I346,'Raw Data'!$K155:$K346,"")</f>
        <v>372.95</v>
      </c>
      <c r="F155" s="3">
        <f>_xlfn.XLOOKUP($B155,'Raw Data'!$M155:$M346,'Raw Data'!$O155:$O346,"")</f>
        <v>2477.5</v>
      </c>
      <c r="G155" s="3">
        <f>_xlfn.XLOOKUP($B155,'Raw Data'!$Q155:$Q346,'Raw Data'!$S155:$S346,"")</f>
        <v>0.67879999999999996</v>
      </c>
      <c r="H155" s="3">
        <f>_xlfn.XLOOKUP($B155,'Raw Data'!$U155:$U346,'Raw Data'!$W155:$W346,"")</f>
        <v>4080.11</v>
      </c>
      <c r="I155" s="3">
        <f>_xlfn.XLOOKUP($B155,'Raw Data'!$AG143:$AG322,'Raw Data'!$AI143:$AI322,"")</f>
        <v>49</v>
      </c>
    </row>
    <row r="156" spans="2:9" x14ac:dyDescent="0.25">
      <c r="B156" s="1">
        <v>44926</v>
      </c>
      <c r="C156" s="3">
        <f>_xlfn.XLOOKUP($B156,'Raw Data'!$A156:$A347,'Raw Data'!$C156:$C347,0)</f>
        <v>151.53960000000001</v>
      </c>
      <c r="D156" s="3">
        <f>_xlfn.XLOOKUP($B156,'Raw Data'!$E135:$E305,'Raw Data'!$G135:$G305,"")</f>
        <v>111.68</v>
      </c>
      <c r="E156" s="3">
        <f>_xlfn.XLOOKUP($B156,'Raw Data'!$I156:$I347,'Raw Data'!$K156:$K347,"")</f>
        <v>381.05</v>
      </c>
      <c r="F156" s="3">
        <f>_xlfn.XLOOKUP($B156,'Raw Data'!$M156:$M347,'Raw Data'!$O156:$O347,"")</f>
        <v>2378</v>
      </c>
      <c r="G156" s="3">
        <f>_xlfn.XLOOKUP($B156,'Raw Data'!$Q156:$Q347,'Raw Data'!$S156:$S347,"")</f>
        <v>0.68130000000000002</v>
      </c>
      <c r="H156" s="3">
        <f>_xlfn.XLOOKUP($B156,'Raw Data'!$U156:$U347,'Raw Data'!$W156:$W347,"")</f>
        <v>3839.5</v>
      </c>
      <c r="I156" s="3">
        <f>_xlfn.XLOOKUP($B156,'Raw Data'!$AG144:$AG323,'Raw Data'!$AI144:$AI323,"")</f>
        <v>48</v>
      </c>
    </row>
    <row r="157" spans="2:9" x14ac:dyDescent="0.25">
      <c r="B157" s="1">
        <v>44957</v>
      </c>
      <c r="C157" s="3">
        <f>_xlfn.XLOOKUP($B157,'Raw Data'!$A157:$A348,'Raw Data'!$C157:$C348,0)</f>
        <v>168.88570000000001</v>
      </c>
      <c r="D157" s="3">
        <f>_xlfn.XLOOKUP($B157,'Raw Data'!$E136:$E306,'Raw Data'!$G136:$G306,"")</f>
        <v>117.87</v>
      </c>
      <c r="E157" s="3">
        <f>_xlfn.XLOOKUP($B157,'Raw Data'!$I157:$I348,'Raw Data'!$K157:$K348,"")</f>
        <v>422.6</v>
      </c>
      <c r="F157" s="3">
        <f>_xlfn.XLOOKUP($B157,'Raw Data'!$M157:$M348,'Raw Data'!$O157:$O348,"")</f>
        <v>2644</v>
      </c>
      <c r="G157" s="3">
        <f>_xlfn.XLOOKUP($B157,'Raw Data'!$Q157:$Q348,'Raw Data'!$S157:$S348,"")</f>
        <v>0.70550000000000002</v>
      </c>
      <c r="H157" s="3">
        <f>_xlfn.XLOOKUP($B157,'Raw Data'!$U157:$U348,'Raw Data'!$W157:$W348,"")</f>
        <v>4076.6</v>
      </c>
      <c r="I157" s="3">
        <f>_xlfn.XLOOKUP($B157,'Raw Data'!$AG145:$AG324,'Raw Data'!$AI145:$AI324,"")</f>
        <v>47.1</v>
      </c>
    </row>
    <row r="158" spans="2:9" x14ac:dyDescent="0.25">
      <c r="B158" s="1">
        <v>44985</v>
      </c>
      <c r="C158" s="3">
        <f>_xlfn.XLOOKUP($B158,'Raw Data'!$A158:$A349,'Raw Data'!$C158:$C349,0)</f>
        <v>148.4109</v>
      </c>
      <c r="D158" s="3">
        <f>_xlfn.XLOOKUP($B158,'Raw Data'!$E137:$E307,'Raw Data'!$G137:$G307,"")</f>
        <v>116.87</v>
      </c>
      <c r="E158" s="3">
        <f>_xlfn.XLOOKUP($B158,'Raw Data'!$I158:$I349,'Raw Data'!$K158:$K349,"")</f>
        <v>409.75</v>
      </c>
      <c r="F158" s="3">
        <f>_xlfn.XLOOKUP($B158,'Raw Data'!$M158:$M349,'Raw Data'!$O158:$O349,"")</f>
        <v>2373</v>
      </c>
      <c r="G158" s="3">
        <f>_xlfn.XLOOKUP($B158,'Raw Data'!$Q158:$Q349,'Raw Data'!$S158:$S349,"")</f>
        <v>0.67290000000000005</v>
      </c>
      <c r="H158" s="3">
        <f>_xlfn.XLOOKUP($B158,'Raw Data'!$U158:$U349,'Raw Data'!$W158:$W349,"")</f>
        <v>3970.15</v>
      </c>
      <c r="I158" s="3">
        <f>_xlfn.XLOOKUP($B158,'Raw Data'!$AG146:$AG325,'Raw Data'!$AI146:$AI325,"")</f>
        <v>47.3</v>
      </c>
    </row>
    <row r="159" spans="2:9" x14ac:dyDescent="0.25">
      <c r="B159" s="1">
        <v>45016</v>
      </c>
      <c r="C159" s="3">
        <f>_xlfn.XLOOKUP($B159,'Raw Data'!$A159:$A350,'Raw Data'!$C159:$C350,0)</f>
        <v>150.82130000000001</v>
      </c>
      <c r="D159" s="3">
        <f>_xlfn.XLOOKUP($B159,'Raw Data'!$E138:$E308,'Raw Data'!$G138:$G308,"")</f>
        <v>121.76</v>
      </c>
      <c r="E159" s="3">
        <f>_xlfn.XLOOKUP($B159,'Raw Data'!$I159:$I350,'Raw Data'!$K159:$K350,"")</f>
        <v>409.45</v>
      </c>
      <c r="F159" s="3">
        <f>_xlfn.XLOOKUP($B159,'Raw Data'!$M159:$M350,'Raw Data'!$O159:$O350,"")</f>
        <v>2413</v>
      </c>
      <c r="G159" s="3">
        <f>_xlfn.XLOOKUP($B159,'Raw Data'!$Q159:$Q350,'Raw Data'!$S159:$S350,"")</f>
        <v>0.66849999999999998</v>
      </c>
      <c r="H159" s="3">
        <f>_xlfn.XLOOKUP($B159,'Raw Data'!$U159:$U350,'Raw Data'!$W159:$W350,"")</f>
        <v>4109.3100000000004</v>
      </c>
      <c r="I159" s="3">
        <f>_xlfn.XLOOKUP($B159,'Raw Data'!$AG147:$AG326,'Raw Data'!$AI147:$AI326,"")</f>
        <v>46.3</v>
      </c>
    </row>
    <row r="160" spans="2:9" x14ac:dyDescent="0.25">
      <c r="B160" s="1">
        <v>45046</v>
      </c>
      <c r="C160" s="3">
        <f>_xlfn.XLOOKUP($B160,'Raw Data'!$A160:$A351,'Raw Data'!$C160:$C351,0)</f>
        <v>140.6859</v>
      </c>
      <c r="D160" s="3">
        <f>_xlfn.XLOOKUP($B160,'Raw Data'!$E139:$E309,'Raw Data'!$G139:$G309,"")</f>
        <v>106.49</v>
      </c>
      <c r="E160" s="3">
        <f>_xlfn.XLOOKUP($B160,'Raw Data'!$I160:$I351,'Raw Data'!$K160:$K351,"")</f>
        <v>387</v>
      </c>
      <c r="F160" s="3">
        <f>_xlfn.XLOOKUP($B160,'Raw Data'!$M160:$M351,'Raw Data'!$O160:$O351,"")</f>
        <v>2356</v>
      </c>
      <c r="G160" s="3">
        <f>_xlfn.XLOOKUP($B160,'Raw Data'!$Q160:$Q351,'Raw Data'!$S160:$S351,"")</f>
        <v>0.66149999999999998</v>
      </c>
      <c r="H160" s="3">
        <f>_xlfn.XLOOKUP($B160,'Raw Data'!$U160:$U351,'Raw Data'!$W160:$W351,"")</f>
        <v>4169.4799999999996</v>
      </c>
      <c r="I160" s="3">
        <f>_xlfn.XLOOKUP($B160,'Raw Data'!$AG148:$AG327,'Raw Data'!$AI148:$AI327,"")</f>
        <v>46.7</v>
      </c>
    </row>
    <row r="161" spans="2:9" x14ac:dyDescent="0.25">
      <c r="B161" s="1">
        <v>45077</v>
      </c>
      <c r="C161" s="3">
        <f>_xlfn.XLOOKUP($B161,'Raw Data'!$A161:$A352,'Raw Data'!$C161:$C352,0)</f>
        <v>129.82499999999999</v>
      </c>
      <c r="D161" s="3">
        <f>_xlfn.XLOOKUP($B161,'Raw Data'!$E140:$E310,'Raw Data'!$G140:$G310,"")</f>
        <v>98.44</v>
      </c>
      <c r="E161" s="3">
        <f>_xlfn.XLOOKUP($B161,'Raw Data'!$I161:$I352,'Raw Data'!$K161:$K352,"")</f>
        <v>363.7</v>
      </c>
      <c r="F161" s="3">
        <f>_xlfn.XLOOKUP($B161,'Raw Data'!$M161:$M352,'Raw Data'!$O161:$O352,"")</f>
        <v>2246</v>
      </c>
      <c r="G161" s="3">
        <f>_xlfn.XLOOKUP($B161,'Raw Data'!$Q161:$Q352,'Raw Data'!$S161:$S352,"")</f>
        <v>0.65029999999999999</v>
      </c>
      <c r="H161" s="3">
        <f>_xlfn.XLOOKUP($B161,'Raw Data'!$U161:$U352,'Raw Data'!$W161:$W352,"")</f>
        <v>4179.83</v>
      </c>
      <c r="I161" s="3">
        <f>_xlfn.XLOOKUP($B161,'Raw Data'!$AG149:$AG328,'Raw Data'!$AI149:$AI328,"")</f>
        <v>46.4</v>
      </c>
    </row>
    <row r="162" spans="2:9" x14ac:dyDescent="0.25">
      <c r="B162" s="1">
        <v>45107</v>
      </c>
      <c r="C162" s="3">
        <f>_xlfn.XLOOKUP($B162,'Raw Data'!$A162:$A353,'Raw Data'!$C162:$C353,0)</f>
        <v>140.3562</v>
      </c>
      <c r="D162" s="3">
        <f>_xlfn.XLOOKUP($B162,'Raw Data'!$E141:$E311,'Raw Data'!$G141:$G311,"")</f>
        <v>108.28</v>
      </c>
      <c r="E162" s="3">
        <f>_xlfn.XLOOKUP($B162,'Raw Data'!$I162:$I353,'Raw Data'!$K162:$K353,"")</f>
        <v>374.1</v>
      </c>
      <c r="F162" s="3">
        <f>_xlfn.XLOOKUP($B162,'Raw Data'!$M162:$M353,'Raw Data'!$O162:$O353,"")</f>
        <v>2151.5</v>
      </c>
      <c r="G162" s="3">
        <f>_xlfn.XLOOKUP($B162,'Raw Data'!$Q162:$Q353,'Raw Data'!$S162:$S353,"")</f>
        <v>0.66639999999999999</v>
      </c>
      <c r="H162" s="3">
        <f>_xlfn.XLOOKUP($B162,'Raw Data'!$U162:$U353,'Raw Data'!$W162:$W353,"")</f>
        <v>4450.38</v>
      </c>
      <c r="I162" s="3">
        <f>_xlfn.XLOOKUP($B162,'Raw Data'!$AG150:$AG329,'Raw Data'!$AI150:$AI329,"")</f>
        <v>46.3</v>
      </c>
    </row>
    <row r="163" spans="2:9" x14ac:dyDescent="0.25">
      <c r="B163" s="1">
        <v>45138</v>
      </c>
      <c r="C163" s="3">
        <f>_xlfn.XLOOKUP($B163,'Raw Data'!$A163:$A354,'Raw Data'!$C163:$C354,0)</f>
        <v>146.3143</v>
      </c>
      <c r="D163" s="3">
        <f>_xlfn.XLOOKUP($B163,'Raw Data'!$E142:$E312,'Raw Data'!$G142:$G312,"")</f>
        <v>111.11</v>
      </c>
      <c r="E163" s="3">
        <f>_xlfn.XLOOKUP($B163,'Raw Data'!$I163:$I354,'Raw Data'!$K163:$K354,"")</f>
        <v>400.8</v>
      </c>
      <c r="F163" s="3">
        <f>_xlfn.XLOOKUP($B163,'Raw Data'!$M163:$M354,'Raw Data'!$O163:$O354,"")</f>
        <v>2282.5</v>
      </c>
      <c r="G163" s="3">
        <f>_xlfn.XLOOKUP($B163,'Raw Data'!$Q163:$Q354,'Raw Data'!$S163:$S354,"")</f>
        <v>0.67169999999999996</v>
      </c>
      <c r="H163" s="3">
        <f>_xlfn.XLOOKUP($B163,'Raw Data'!$U163:$U354,'Raw Data'!$W163:$W354,"")</f>
        <v>4588.96</v>
      </c>
      <c r="I163" s="3">
        <f>_xlfn.XLOOKUP($B163,'Raw Data'!$AG151:$AG330,'Raw Data'!$AI151:$AI330,"")</f>
        <v>47</v>
      </c>
    </row>
    <row r="164" spans="2:9" x14ac:dyDescent="0.25">
      <c r="B164" s="1">
        <v>45169</v>
      </c>
      <c r="C164" s="3">
        <f>_xlfn.XLOOKUP($B164,'Raw Data'!$A164:$A355,'Raw Data'!$C164:$C355,0)</f>
        <v>141.37450000000001</v>
      </c>
      <c r="D164" s="3">
        <f>_xlfn.XLOOKUP($B164,'Raw Data'!$E143:$E313,'Raw Data'!$G143:$G313,"")</f>
        <v>113.48</v>
      </c>
      <c r="E164" s="3">
        <f>_xlfn.XLOOKUP($B164,'Raw Data'!$I164:$I355,'Raw Data'!$K164:$K355,"")</f>
        <v>377.25</v>
      </c>
      <c r="F164" s="3">
        <f>_xlfn.XLOOKUP($B164,'Raw Data'!$M164:$M355,'Raw Data'!$O164:$O355,"")</f>
        <v>2208</v>
      </c>
      <c r="G164" s="3">
        <f>_xlfn.XLOOKUP($B164,'Raw Data'!$Q164:$Q355,'Raw Data'!$S164:$S355,"")</f>
        <v>0.64839999999999998</v>
      </c>
      <c r="H164" s="3">
        <f>_xlfn.XLOOKUP($B164,'Raw Data'!$U164:$U355,'Raw Data'!$W164:$W355,"")</f>
        <v>4507.66</v>
      </c>
      <c r="I164" s="3">
        <f>_xlfn.XLOOKUP($B164,'Raw Data'!$AG152:$AG331,'Raw Data'!$AI152:$AI331,"")</f>
        <v>48</v>
      </c>
    </row>
    <row r="165" spans="2:9" x14ac:dyDescent="0.25">
      <c r="B165" s="1">
        <v>45199</v>
      </c>
      <c r="C165" s="3">
        <f>_xlfn.XLOOKUP($B165,'Raw Data'!$A165:$A356,'Raw Data'!$C165:$C356,0)</f>
        <v>143.95320000000001</v>
      </c>
      <c r="D165" s="3">
        <f>_xlfn.XLOOKUP($B165,'Raw Data'!$E144:$E314,'Raw Data'!$G144:$G314,"")</f>
        <v>116.84</v>
      </c>
      <c r="E165" s="3">
        <f>_xlfn.XLOOKUP($B165,'Raw Data'!$I165:$I356,'Raw Data'!$K165:$K356,"")</f>
        <v>373.75</v>
      </c>
      <c r="F165" s="3">
        <f>_xlfn.XLOOKUP($B165,'Raw Data'!$M165:$M356,'Raw Data'!$O165:$O356,"")</f>
        <v>2347</v>
      </c>
      <c r="G165" s="3">
        <f>_xlfn.XLOOKUP($B165,'Raw Data'!$Q165:$Q356,'Raw Data'!$S165:$S356,"")</f>
        <v>0.64349999999999996</v>
      </c>
      <c r="H165" s="3">
        <f>_xlfn.XLOOKUP($B165,'Raw Data'!$U165:$U356,'Raw Data'!$W165:$W356,"")</f>
        <v>4288.05</v>
      </c>
      <c r="I165" s="3">
        <f>_xlfn.XLOOKUP($B165,'Raw Data'!$AG153:$AG332,'Raw Data'!$AI153:$AI332,"")</f>
        <v>48.7</v>
      </c>
    </row>
    <row r="166" spans="2:9" x14ac:dyDescent="0.25">
      <c r="B166" s="1">
        <v>45230</v>
      </c>
      <c r="C166" s="3">
        <f>_xlfn.XLOOKUP($B166,'Raw Data'!$A166:$A357,'Raw Data'!$C166:$C357,0)</f>
        <v>145.53649999999999</v>
      </c>
      <c r="D166" s="3">
        <f>_xlfn.XLOOKUP($B166,'Raw Data'!$E145:$E315,'Raw Data'!$G145:$G315,"")</f>
        <v>118.75</v>
      </c>
      <c r="E166" s="3">
        <f>_xlfn.XLOOKUP($B166,'Raw Data'!$I166:$I357,'Raw Data'!$K166:$K357,"")</f>
        <v>364.9</v>
      </c>
      <c r="F166" s="3">
        <f>_xlfn.XLOOKUP($B166,'Raw Data'!$M166:$M357,'Raw Data'!$O166:$O357,"")</f>
        <v>2251.5</v>
      </c>
      <c r="G166" s="3">
        <f>_xlfn.XLOOKUP($B166,'Raw Data'!$Q166:$Q357,'Raw Data'!$S166:$S357,"")</f>
        <v>0.63370000000000004</v>
      </c>
      <c r="H166" s="3">
        <f>_xlfn.XLOOKUP($B166,'Raw Data'!$U166:$U357,'Raw Data'!$W166:$W357,"")</f>
        <v>4193.8</v>
      </c>
      <c r="I166" s="3">
        <f>_xlfn.XLOOKUP($B166,'Raw Data'!$AG154:$AG333,'Raw Data'!$AI154:$AI333,"")</f>
        <v>47.4</v>
      </c>
    </row>
    <row r="167" spans="2:9" x14ac:dyDescent="0.25">
      <c r="B167" s="1">
        <v>45260</v>
      </c>
      <c r="C167" s="3">
        <f>_xlfn.XLOOKUP($B167,'Raw Data'!$A167:$A358,'Raw Data'!$C167:$C358,0)</f>
        <v>156.28100000000001</v>
      </c>
      <c r="D167" s="3">
        <f>_xlfn.XLOOKUP($B167,'Raw Data'!$E146:$E316,'Raw Data'!$G146:$G316,"")</f>
        <v>125.33</v>
      </c>
      <c r="E167" s="3">
        <f>_xlfn.XLOOKUP($B167,'Raw Data'!$I167:$I358,'Raw Data'!$K167:$K358,"")</f>
        <v>382.9</v>
      </c>
      <c r="F167" s="3">
        <f>_xlfn.XLOOKUP($B167,'Raw Data'!$M167:$M358,'Raw Data'!$O167:$O358,"")</f>
        <v>2193</v>
      </c>
      <c r="G167" s="3">
        <f>_xlfn.XLOOKUP($B167,'Raw Data'!$Q167:$Q358,'Raw Data'!$S167:$S358,"")</f>
        <v>0.66049999999999998</v>
      </c>
      <c r="H167" s="3">
        <f>_xlfn.XLOOKUP($B167,'Raw Data'!$U167:$U358,'Raw Data'!$W167:$W358,"")</f>
        <v>4567.8</v>
      </c>
      <c r="I167" s="3">
        <f>_xlfn.XLOOKUP($B167,'Raw Data'!$AG155:$AG334,'Raw Data'!$AI155:$AI334,"")</f>
        <v>46.8</v>
      </c>
    </row>
    <row r="168" spans="2:9" x14ac:dyDescent="0.25">
      <c r="B168" s="1">
        <v>45291</v>
      </c>
      <c r="C168" s="3">
        <f>_xlfn.XLOOKUP($B168,'Raw Data'!$A168:$A359,'Raw Data'!$C168:$C359,0)</f>
        <v>168.42789999999999</v>
      </c>
      <c r="D168" s="3">
        <f>_xlfn.XLOOKUP($B168,'Raw Data'!$E147:$E317,'Raw Data'!$G147:$G317,"")</f>
        <v>131.80000000000001</v>
      </c>
      <c r="E168" s="3">
        <f>_xlfn.XLOOKUP($B168,'Raw Data'!$I168:$I359,'Raw Data'!$K168:$K359,"")</f>
        <v>389.05</v>
      </c>
      <c r="F168" s="3">
        <f>_xlfn.XLOOKUP($B168,'Raw Data'!$M168:$M359,'Raw Data'!$O168:$O359,"")</f>
        <v>2384</v>
      </c>
      <c r="G168" s="3">
        <f>_xlfn.XLOOKUP($B168,'Raw Data'!$Q168:$Q359,'Raw Data'!$S168:$S359,"")</f>
        <v>0.68120000000000003</v>
      </c>
      <c r="H168" s="3">
        <f>_xlfn.XLOOKUP($B168,'Raw Data'!$U168:$U359,'Raw Data'!$W168:$W359,"")</f>
        <v>4769.83</v>
      </c>
      <c r="I168" s="3">
        <f>_xlfn.XLOOKUP($B168,'Raw Data'!$AG156:$AG335,'Raw Data'!$AI156:$AI335,"")</f>
        <v>46.9</v>
      </c>
    </row>
    <row r="169" spans="2:9" x14ac:dyDescent="0.25">
      <c r="B169" s="1">
        <v>45322</v>
      </c>
      <c r="C169" s="3">
        <f>_xlfn.XLOOKUP($B169,'Raw Data'!$A169:$A360,'Raw Data'!$C169:$C360,0)</f>
        <v>156.68819999999999</v>
      </c>
      <c r="D169" s="3">
        <f>_xlfn.XLOOKUP($B169,'Raw Data'!$E148:$E318,'Raw Data'!$G148:$G318,"")</f>
        <v>127.05</v>
      </c>
      <c r="E169" s="3">
        <f>_xlfn.XLOOKUP($B169,'Raw Data'!$I169:$I360,'Raw Data'!$K169:$K360,"")</f>
        <v>390.6</v>
      </c>
      <c r="F169" s="3">
        <f>_xlfn.XLOOKUP($B169,'Raw Data'!$M169:$M360,'Raw Data'!$O169:$O360,"")</f>
        <v>2280</v>
      </c>
      <c r="G169" s="3">
        <f>_xlfn.XLOOKUP($B169,'Raw Data'!$Q169:$Q360,'Raw Data'!$S169:$S360,"")</f>
        <v>0.65680000000000005</v>
      </c>
      <c r="H169" s="3">
        <f>_xlfn.XLOOKUP($B169,'Raw Data'!$U169:$U360,'Raw Data'!$W169:$W360,"")</f>
        <v>4845.6499999999996</v>
      </c>
      <c r="I169" s="3">
        <f>_xlfn.XLOOKUP($B169,'Raw Data'!$AG157:$AG336,'Raw Data'!$AI157:$AI336,"")</f>
        <v>48.6</v>
      </c>
    </row>
    <row r="170" spans="2:9" x14ac:dyDescent="0.25">
      <c r="B170" s="1">
        <v>45351</v>
      </c>
      <c r="C170" s="3">
        <f>_xlfn.XLOOKUP($B170,'Raw Data'!$A170:$A361,'Raw Data'!$C170:$C361,0)</f>
        <v>145.96629999999999</v>
      </c>
      <c r="D170" s="3">
        <f>_xlfn.XLOOKUP($B170,'Raw Data'!$E149:$E319,'Raw Data'!$G149:$G319,"")</f>
        <v>115.16</v>
      </c>
      <c r="E170" s="3">
        <f>_xlfn.XLOOKUP($B170,'Raw Data'!$I170:$I361,'Raw Data'!$K170:$K361,"")</f>
        <v>383.45</v>
      </c>
      <c r="F170" s="3">
        <f>_xlfn.XLOOKUP($B170,'Raw Data'!$M170:$M361,'Raw Data'!$O170:$O361,"")</f>
        <v>2228</v>
      </c>
      <c r="G170" s="3">
        <f>_xlfn.XLOOKUP($B170,'Raw Data'!$Q170:$Q361,'Raw Data'!$S170:$S361,"")</f>
        <v>0.64970000000000006</v>
      </c>
      <c r="H170" s="3">
        <f>_xlfn.XLOOKUP($B170,'Raw Data'!$U170:$U361,'Raw Data'!$W170:$W361,"")</f>
        <v>5096.2700000000004</v>
      </c>
      <c r="I170" s="3">
        <f>_xlfn.XLOOKUP($B170,'Raw Data'!$AG158:$AG337,'Raw Data'!$AI158:$AI337,"")</f>
        <v>47.4</v>
      </c>
    </row>
    <row r="171" spans="2:9" x14ac:dyDescent="0.25">
      <c r="B171" s="1">
        <v>45382</v>
      </c>
      <c r="C171" s="3">
        <f>_xlfn.XLOOKUP($B171,'Raw Data'!$A171:$A362,'Raw Data'!$C171:$C362,0)</f>
        <v>150.02170000000001</v>
      </c>
      <c r="D171" s="3">
        <f>_xlfn.XLOOKUP($B171,'Raw Data'!$E150:$E320,'Raw Data'!$G150:$G320,"")</f>
        <v>94.86</v>
      </c>
      <c r="E171" s="3">
        <f>_xlfn.XLOOKUP($B171,'Raw Data'!$I171:$I362,'Raw Data'!$K171:$K362,"")</f>
        <v>400.7</v>
      </c>
      <c r="F171" s="3">
        <f>_xlfn.XLOOKUP($B171,'Raw Data'!$M171:$M362,'Raw Data'!$O171:$O362,"")</f>
        <v>2337</v>
      </c>
      <c r="G171" s="3">
        <f>_xlfn.XLOOKUP($B171,'Raw Data'!$Q171:$Q362,'Raw Data'!$S171:$S362,"")</f>
        <v>0.65210000000000001</v>
      </c>
      <c r="H171" s="3">
        <f>_xlfn.XLOOKUP($B171,'Raw Data'!$U171:$U362,'Raw Data'!$W171:$W362,"")</f>
        <v>5254.35</v>
      </c>
      <c r="I171" s="3">
        <f>_xlfn.XLOOKUP($B171,'Raw Data'!$AG159:$AG338,'Raw Data'!$AI159:$AI338,"")</f>
        <v>49.8</v>
      </c>
    </row>
    <row r="172" spans="2:9" x14ac:dyDescent="0.25">
      <c r="B172" s="1">
        <v>45412</v>
      </c>
      <c r="C172" s="3">
        <f>_xlfn.XLOOKUP($B172,'Raw Data'!$A172:$A363,'Raw Data'!$C172:$C363,0)</f>
        <v>159.6481</v>
      </c>
      <c r="D172" s="3">
        <f>_xlfn.XLOOKUP($B172,'Raw Data'!$E151:$E321,'Raw Data'!$G151:$G321,"")</f>
        <v>108.71</v>
      </c>
      <c r="E172" s="3">
        <f>_xlfn.XLOOKUP($B172,'Raw Data'!$I172:$I363,'Raw Data'!$K172:$K363,"")</f>
        <v>456.45</v>
      </c>
      <c r="F172" s="3">
        <f>_xlfn.XLOOKUP($B172,'Raw Data'!$M172:$M363,'Raw Data'!$O172:$O363,"")</f>
        <v>2591.5</v>
      </c>
      <c r="G172" s="3">
        <f>_xlfn.XLOOKUP($B172,'Raw Data'!$Q172:$Q363,'Raw Data'!$S172:$S363,"")</f>
        <v>0.64729999999999999</v>
      </c>
      <c r="H172" s="3">
        <f>_xlfn.XLOOKUP($B172,'Raw Data'!$U172:$U363,'Raw Data'!$W172:$W363,"")</f>
        <v>5035.6899999999996</v>
      </c>
      <c r="I172" s="3">
        <f>_xlfn.XLOOKUP($B172,'Raw Data'!$AG160:$AG339,'Raw Data'!$AI160:$AI339,"")</f>
        <v>48.9</v>
      </c>
    </row>
    <row r="173" spans="2:9" x14ac:dyDescent="0.25">
      <c r="B173" s="1">
        <v>45443</v>
      </c>
      <c r="C173" s="3">
        <f>_xlfn.XLOOKUP($B173,'Raw Data'!$A173:$A364,'Raw Data'!$C173:$C364,0)</f>
        <v>164.99090000000001</v>
      </c>
      <c r="D173" s="3">
        <f>_xlfn.XLOOKUP($B173,'Raw Data'!$E152:$E322,'Raw Data'!$G152:$G322,"")</f>
        <v>108.05</v>
      </c>
      <c r="E173" s="3">
        <f>_xlfn.XLOOKUP($B173,'Raw Data'!$I173:$I364,'Raw Data'!$K173:$K364,"")</f>
        <v>460.2</v>
      </c>
      <c r="F173" s="3">
        <f>_xlfn.XLOOKUP($B173,'Raw Data'!$M173:$M364,'Raw Data'!$O173:$O364,"")</f>
        <v>2652.5</v>
      </c>
      <c r="G173" s="3">
        <f>_xlfn.XLOOKUP($B173,'Raw Data'!$Q173:$Q364,'Raw Data'!$S173:$S364,"")</f>
        <v>0.6653</v>
      </c>
      <c r="H173" s="3">
        <f>_xlfn.XLOOKUP($B173,'Raw Data'!$U173:$U364,'Raw Data'!$W173:$W364,"")</f>
        <v>5277.51</v>
      </c>
      <c r="I173" s="3">
        <f>_xlfn.XLOOKUP($B173,'Raw Data'!$AG161:$AG340,'Raw Data'!$AI161:$AI340,"")</f>
        <v>48.6</v>
      </c>
    </row>
    <row r="174" spans="2:9" x14ac:dyDescent="0.25">
      <c r="B174" s="1">
        <v>45473</v>
      </c>
      <c r="C174" s="3">
        <f>_xlfn.XLOOKUP($B174,'Raw Data'!$A174:$A365,'Raw Data'!$C174:$C365,0)</f>
        <v>155.17619999999999</v>
      </c>
      <c r="D174" s="3">
        <f>_xlfn.XLOOKUP($B174,'Raw Data'!$E153:$E323,'Raw Data'!$G153:$G323,"")</f>
        <v>101.92</v>
      </c>
      <c r="E174" s="3">
        <f>_xlfn.XLOOKUP($B174,'Raw Data'!$I174:$I365,'Raw Data'!$K174:$K365,"")</f>
        <v>439.05</v>
      </c>
      <c r="F174" s="3">
        <f>_xlfn.XLOOKUP($B174,'Raw Data'!$M174:$M365,'Raw Data'!$O174:$O365,"")</f>
        <v>2524.5</v>
      </c>
      <c r="G174" s="3">
        <f>_xlfn.XLOOKUP($B174,'Raw Data'!$Q174:$Q365,'Raw Data'!$S174:$S365,"")</f>
        <v>0.66700000000000004</v>
      </c>
      <c r="H174" s="3">
        <f>_xlfn.XLOOKUP($B174,'Raw Data'!$U174:$U365,'Raw Data'!$W174:$W365,"")</f>
        <v>5460.48</v>
      </c>
      <c r="I174" s="3">
        <f>_xlfn.XLOOKUP($B174,'Raw Data'!$AG162:$AG341,'Raw Data'!$AI162:$AI341,"")</f>
        <v>48.3</v>
      </c>
    </row>
    <row r="175" spans="2:9" x14ac:dyDescent="0.25">
      <c r="B175" s="1">
        <v>45504</v>
      </c>
      <c r="C175" s="3">
        <f>_xlfn.XLOOKUP($B175,'Raw Data'!$A175:$A366,'Raw Data'!$C175:$C366,0)</f>
        <v>153.3639</v>
      </c>
      <c r="D175" s="3">
        <f>_xlfn.XLOOKUP($B175,'Raw Data'!$E154:$E324,'Raw Data'!$G154:$G324,"")</f>
        <v>95.44</v>
      </c>
      <c r="E175" s="3">
        <f>_xlfn.XLOOKUP($B175,'Raw Data'!$I175:$I366,'Raw Data'!$K175:$K366,"")</f>
        <v>417.65</v>
      </c>
      <c r="F175" s="3">
        <f>_xlfn.XLOOKUP($B175,'Raw Data'!$M175:$M366,'Raw Data'!$O175:$O366,"")</f>
        <v>2290.5</v>
      </c>
      <c r="G175" s="3">
        <f>_xlfn.XLOOKUP($B175,'Raw Data'!$Q175:$Q366,'Raw Data'!$S175:$S366,"")</f>
        <v>0.6542</v>
      </c>
      <c r="H175" s="3">
        <f>_xlfn.XLOOKUP($B175,'Raw Data'!$U175:$U366,'Raw Data'!$W175:$W366,"")</f>
        <v>5522.3</v>
      </c>
      <c r="I175" s="3">
        <f>_xlfn.XLOOKUP($B175,'Raw Data'!$AG163:$AG342,'Raw Data'!$AI163:$AI342,"")</f>
        <v>47.4</v>
      </c>
    </row>
    <row r="176" spans="2:9" x14ac:dyDescent="0.25">
      <c r="B176" s="1">
        <v>45535</v>
      </c>
      <c r="C176" s="3">
        <f>_xlfn.XLOOKUP($B176,'Raw Data'!$A176:$A367,'Raw Data'!$C176:$C367,0)</f>
        <v>153.2167</v>
      </c>
      <c r="D176" s="3">
        <f>_xlfn.XLOOKUP($B176,'Raw Data'!$E155:$E325,'Raw Data'!$G155:$G325,"")</f>
        <v>94.89</v>
      </c>
      <c r="E176" s="3">
        <f>_xlfn.XLOOKUP($B176,'Raw Data'!$I176:$I367,'Raw Data'!$K176:$K367,"")</f>
        <v>414.5</v>
      </c>
      <c r="F176" s="3">
        <f>_xlfn.XLOOKUP($B176,'Raw Data'!$M176:$M367,'Raw Data'!$O176:$O367,"")</f>
        <v>2447</v>
      </c>
      <c r="G176" s="3">
        <f>_xlfn.XLOOKUP($B176,'Raw Data'!$Q176:$Q367,'Raw Data'!$S176:$S367,"")</f>
        <v>0.67649999999999999</v>
      </c>
      <c r="H176" s="3">
        <f>_xlfn.XLOOKUP($B176,'Raw Data'!$U176:$U367,'Raw Data'!$W176:$W367,"")</f>
        <v>5648.4</v>
      </c>
      <c r="I176" s="3">
        <f>_xlfn.XLOOKUP($B176,'Raw Data'!$AG164:$AG343,'Raw Data'!$AI164:$AI343,"")</f>
        <v>47.7</v>
      </c>
    </row>
    <row r="177" spans="2:9" x14ac:dyDescent="0.25">
      <c r="B177" s="1">
        <v>45565</v>
      </c>
      <c r="C177" s="3">
        <f>_xlfn.XLOOKUP($B177,'Raw Data'!$A177:$A368,'Raw Data'!$C177:$C368,0)</f>
        <v>172.3476</v>
      </c>
      <c r="D177" s="3">
        <f>_xlfn.XLOOKUP($B177,'Raw Data'!$E156:$E326,'Raw Data'!$G156:$G326,"")</f>
        <v>103.02</v>
      </c>
      <c r="E177" s="3">
        <f>_xlfn.XLOOKUP($B177,'Raw Data'!$I177:$I368,'Raw Data'!$K177:$K368,"")</f>
        <v>455.3</v>
      </c>
      <c r="F177" s="3">
        <f>_xlfn.XLOOKUP($B177,'Raw Data'!$M177:$M368,'Raw Data'!$O177:$O368,"")</f>
        <v>2611.5</v>
      </c>
      <c r="G177" s="3">
        <f>_xlfn.XLOOKUP($B177,'Raw Data'!$Q177:$Q368,'Raw Data'!$S177:$S368,"")</f>
        <v>0.69130000000000003</v>
      </c>
      <c r="H177" s="3">
        <f>_xlfn.XLOOKUP($B177,'Raw Data'!$U177:$U368,'Raw Data'!$W177:$W368,"")</f>
        <v>5762.48</v>
      </c>
      <c r="I177" s="3">
        <f>_xlfn.XLOOKUP($B177,'Raw Data'!$AG165:$AG344,'Raw Data'!$AI165:$AI344,"")</f>
        <v>47.3</v>
      </c>
    </row>
    <row r="178" spans="2:9" x14ac:dyDescent="0.25">
      <c r="B178" s="1">
        <v>45596</v>
      </c>
      <c r="C178" s="3">
        <f>_xlfn.XLOOKUP($B178,'Raw Data'!$A178:$A369,'Raw Data'!$C178:$C369,0)</f>
        <v>157.13980000000001</v>
      </c>
      <c r="D178" s="3">
        <f>_xlfn.XLOOKUP($B178,'Raw Data'!$E157:$E327,'Raw Data'!$G157:$G327,"")</f>
        <v>96.49</v>
      </c>
      <c r="E178" s="3">
        <f>_xlfn.XLOOKUP($B178,'Raw Data'!$I178:$I369,'Raw Data'!$K178:$K369,"")</f>
        <v>434</v>
      </c>
      <c r="F178" s="3">
        <f>_xlfn.XLOOKUP($B178,'Raw Data'!$M178:$M369,'Raw Data'!$O178:$O369,"")</f>
        <v>2617.5</v>
      </c>
      <c r="G178" s="3">
        <f>_xlfn.XLOOKUP($B178,'Raw Data'!$Q178:$Q369,'Raw Data'!$S178:$S369,"")</f>
        <v>0.65820000000000001</v>
      </c>
      <c r="H178" s="3">
        <f>_xlfn.XLOOKUP($B178,'Raw Data'!$U178:$U369,'Raw Data'!$W178:$W369,"")</f>
        <v>5705.45</v>
      </c>
      <c r="I178" s="3">
        <f>_xlfn.XLOOKUP($B178,'Raw Data'!$AG166:$AG345,'Raw Data'!$AI166:$AI345,"")</f>
        <v>47</v>
      </c>
    </row>
    <row r="179" spans="2:9" x14ac:dyDescent="0.25">
      <c r="B179" s="1">
        <v>45626</v>
      </c>
      <c r="C179" s="3">
        <f>_xlfn.XLOOKUP($B179,'Raw Data'!$A179:$A370,'Raw Data'!$C179:$C370,0)</f>
        <v>152.1754</v>
      </c>
      <c r="D179" s="3">
        <f>_xlfn.XLOOKUP($B179,'Raw Data'!$E158:$E328,'Raw Data'!$G158:$G328,"")</f>
        <v>97.26</v>
      </c>
      <c r="E179" s="3">
        <f>_xlfn.XLOOKUP($B179,'Raw Data'!$I179:$I370,'Raw Data'!$K179:$K370,"")</f>
        <v>408.05</v>
      </c>
      <c r="F179" s="3">
        <f>_xlfn.XLOOKUP($B179,'Raw Data'!$M179:$M370,'Raw Data'!$O179:$O370,"")</f>
        <v>2594</v>
      </c>
      <c r="G179" s="3">
        <f>_xlfn.XLOOKUP($B179,'Raw Data'!$Q179:$Q370,'Raw Data'!$S179:$S370,"")</f>
        <v>0.6512</v>
      </c>
      <c r="H179" s="3">
        <f>_xlfn.XLOOKUP($B179,'Raw Data'!$U179:$U370,'Raw Data'!$W179:$W370,"")</f>
        <v>6032.38</v>
      </c>
      <c r="I179" s="3">
        <f>_xlfn.XLOOKUP($B179,'Raw Data'!$AG167:$AG346,'Raw Data'!$AI167:$AI346,"")</f>
        <v>48.4</v>
      </c>
    </row>
    <row r="180" spans="2:9" x14ac:dyDescent="0.25">
      <c r="B180" s="1">
        <v>45657</v>
      </c>
      <c r="C180" s="3">
        <f>_xlfn.XLOOKUP($B180,'Raw Data'!$A180:$A371,'Raw Data'!$C180:$C371,0)</f>
        <v>142.41630000000001</v>
      </c>
      <c r="D180" s="3">
        <f>_xlfn.XLOOKUP($B180,'Raw Data'!$E159:$E329,'Raw Data'!$G159:$G329,"")</f>
        <v>95.35</v>
      </c>
      <c r="E180" s="3">
        <f>_xlfn.XLOOKUP($B180,'Raw Data'!$I180:$I371,'Raw Data'!$K180:$K371,"")</f>
        <v>402.65</v>
      </c>
      <c r="F180" s="3">
        <f>_xlfn.XLOOKUP($B180,'Raw Data'!$M180:$M371,'Raw Data'!$O180:$O371,"")</f>
        <v>2551.5</v>
      </c>
      <c r="G180" s="3">
        <f>_xlfn.XLOOKUP($B180,'Raw Data'!$Q180:$Q371,'Raw Data'!$S180:$S371,"")</f>
        <v>0.61880000000000002</v>
      </c>
      <c r="H180" s="3">
        <f>_xlfn.XLOOKUP($B180,'Raw Data'!$U180:$U371,'Raw Data'!$W180:$W371,"")</f>
        <v>5881.63</v>
      </c>
      <c r="I180" s="3">
        <f>_xlfn.XLOOKUP($B180,'Raw Data'!$AG168:$AG347,'Raw Data'!$AI168:$AI347,"")</f>
        <v>49.2</v>
      </c>
    </row>
    <row r="181" spans="2:9" x14ac:dyDescent="0.25">
      <c r="B181" s="1">
        <v>45688</v>
      </c>
      <c r="C181" s="3">
        <f>_xlfn.XLOOKUP($B181,'Raw Data'!$A181:$A372,'Raw Data'!$C181:$C372,0)</f>
        <v>146.29089999999999</v>
      </c>
      <c r="D181" s="3">
        <f>_xlfn.XLOOKUP($B181,'Raw Data'!$E160:$E330,'Raw Data'!$G160:$G330,"")</f>
        <v>99.97</v>
      </c>
      <c r="E181" s="3">
        <f>_xlfn.XLOOKUP($B181,'Raw Data'!$I181:$I372,'Raw Data'!$K181:$K372,"")</f>
        <v>427.9</v>
      </c>
      <c r="F181" s="3">
        <f>_xlfn.XLOOKUP($B181,'Raw Data'!$M181:$M372,'Raw Data'!$O181:$O372,"")</f>
        <v>2594</v>
      </c>
      <c r="G181" s="3">
        <f>_xlfn.XLOOKUP($B181,'Raw Data'!$Q181:$Q372,'Raw Data'!$S181:$S372,"")</f>
        <v>0.62180000000000002</v>
      </c>
      <c r="H181" s="3">
        <f>_xlfn.XLOOKUP($B181,'Raw Data'!$U181:$U372,'Raw Data'!$W181:$W372,"")</f>
        <v>6040.53</v>
      </c>
      <c r="I181" s="3">
        <f>_xlfn.XLOOKUP($B181,'Raw Data'!$AG169:$AG348,'Raw Data'!$AI169:$AI348,"")</f>
        <v>50.5</v>
      </c>
    </row>
    <row r="182" spans="2:9" x14ac:dyDescent="0.25">
      <c r="B182" s="1">
        <v>45716</v>
      </c>
      <c r="C182" s="3">
        <f>_xlfn.XLOOKUP($B182,'Raw Data'!$A182:$A373,'Raw Data'!$C182:$C373,0)</f>
        <v>146.6541</v>
      </c>
      <c r="D182" s="3">
        <f>_xlfn.XLOOKUP($B182,'Raw Data'!$E161:$E331,'Raw Data'!$G161:$G331,"")</f>
        <v>98.5</v>
      </c>
      <c r="E182" s="3">
        <f>_xlfn.XLOOKUP($B182,'Raw Data'!$I182:$I373,'Raw Data'!$K182:$K373,"")</f>
        <v>451.45</v>
      </c>
      <c r="F182" s="3">
        <f>_xlfn.XLOOKUP($B182,'Raw Data'!$M182:$M373,'Raw Data'!$O182:$O373,"")</f>
        <v>2605.5</v>
      </c>
      <c r="G182" s="3">
        <f>_xlfn.XLOOKUP($B182,'Raw Data'!$Q182:$Q373,'Raw Data'!$S182:$S373,"")</f>
        <v>0.62090000000000001</v>
      </c>
      <c r="H182" s="3">
        <f>_xlfn.XLOOKUP($B182,'Raw Data'!$U182:$U373,'Raw Data'!$W182:$W373,"")</f>
        <v>5954.5</v>
      </c>
      <c r="I182" s="3">
        <f>_xlfn.XLOOKUP($B182,'Raw Data'!$AG170:$AG349,'Raw Data'!$AI170:$AI349,"")</f>
        <v>50</v>
      </c>
    </row>
    <row r="183" spans="2:9" x14ac:dyDescent="0.25">
      <c r="B183" s="1">
        <v>45747</v>
      </c>
      <c r="C183" s="3">
        <f>_xlfn.XLOOKUP($B183,'Raw Data'!$A183:$A374,'Raw Data'!$C183:$C374,0)</f>
        <v>150.74539999999999</v>
      </c>
      <c r="D183" s="3">
        <f>_xlfn.XLOOKUP($B183,'Raw Data'!$E162:$E332,'Raw Data'!$G162:$G332,"")</f>
        <v>95.41</v>
      </c>
      <c r="E183" s="3">
        <f>_xlfn.XLOOKUP($B183,'Raw Data'!$I183:$I374,'Raw Data'!$K183:$K374,"")</f>
        <v>503.4</v>
      </c>
      <c r="F183" s="3">
        <f>_xlfn.XLOOKUP($B183,'Raw Data'!$M183:$M374,'Raw Data'!$O183:$O374,"")</f>
        <v>2533</v>
      </c>
      <c r="G183" s="3">
        <f>_xlfn.XLOOKUP($B183,'Raw Data'!$Q183:$Q374,'Raw Data'!$S183:$S374,"")</f>
        <v>0.62470000000000003</v>
      </c>
      <c r="H183" s="3">
        <f>_xlfn.XLOOKUP($B183,'Raw Data'!$U183:$U374,'Raw Data'!$W183:$W374,"")</f>
        <v>5611.85</v>
      </c>
      <c r="I183" s="3">
        <f>_xlfn.XLOOKUP($B183,'Raw Data'!$AG171:$AG350,'Raw Data'!$AI171:$AI350,"")</f>
        <v>48.9</v>
      </c>
    </row>
    <row r="184" spans="2:9" x14ac:dyDescent="0.25">
      <c r="B184" s="1">
        <v>45777</v>
      </c>
      <c r="C184" s="3">
        <f>_xlfn.XLOOKUP($B184,'Raw Data'!$A184:$A375,'Raw Data'!$C184:$C375,0)</f>
        <v>149.03919999999999</v>
      </c>
      <c r="D184" s="3">
        <f>_xlfn.XLOOKUP($B184,'Raw Data'!$E163:$E333,'Raw Data'!$G163:$G333,"")</f>
        <v>93.82</v>
      </c>
      <c r="E184" s="3">
        <f>_xlfn.XLOOKUP($B184,'Raw Data'!$I184:$I375,'Raw Data'!$K184:$K375,"")</f>
        <v>456</v>
      </c>
      <c r="F184" s="3">
        <f>_xlfn.XLOOKUP($B184,'Raw Data'!$M184:$M375,'Raw Data'!$O184:$O375,"")</f>
        <v>2399.5</v>
      </c>
      <c r="G184" s="3">
        <f>_xlfn.XLOOKUP($B184,'Raw Data'!$Q184:$Q375,'Raw Data'!$S184:$S375,"")</f>
        <v>0.64019999999999999</v>
      </c>
      <c r="H184" s="3">
        <f>_xlfn.XLOOKUP($B184,'Raw Data'!$U184:$U375,'Raw Data'!$W184:$W375,"")</f>
        <v>5569.06</v>
      </c>
      <c r="I184" s="3">
        <f>_xlfn.XLOOKUP($B184,'Raw Data'!$AG172:$AG351,'Raw Data'!$AI172:$AI351,"")</f>
        <v>48.8</v>
      </c>
    </row>
    <row r="185" spans="2:9" x14ac:dyDescent="0.25">
      <c r="B185" s="1">
        <v>45808</v>
      </c>
      <c r="C185" s="3">
        <f>_xlfn.XLOOKUP($B185,'Raw Data'!$A185:$A376,'Raw Data'!$C185:$C376,0)</f>
        <v>149.11449999999999</v>
      </c>
      <c r="D185" s="3">
        <f>_xlfn.XLOOKUP($B185,'Raw Data'!$E164:$E334,'Raw Data'!$G164:$G334,"")</f>
        <v>91.91</v>
      </c>
      <c r="E185" s="3">
        <f>_xlfn.XLOOKUP($B185,'Raw Data'!$I185:$I376,'Raw Data'!$K185:$K376,"")</f>
        <v>467.75</v>
      </c>
      <c r="F185" s="3">
        <f>_xlfn.XLOOKUP($B185,'Raw Data'!$M185:$M376,'Raw Data'!$O185:$O376,"")</f>
        <v>2444</v>
      </c>
      <c r="G185" s="3">
        <f>_xlfn.XLOOKUP($B185,'Raw Data'!$Q185:$Q376,'Raw Data'!$S185:$S376,"")</f>
        <v>0.6431</v>
      </c>
      <c r="H185" s="3">
        <f>_xlfn.XLOOKUP($B185,'Raw Data'!$U185:$U376,'Raw Data'!$W185:$W376,"")</f>
        <v>5911.69</v>
      </c>
      <c r="I185" s="3">
        <f>_xlfn.XLOOKUP($B185,'Raw Data'!$AG173:$AG352,'Raw Data'!$AI173:$AI352,"")</f>
        <v>48.6</v>
      </c>
    </row>
    <row r="186" spans="2:9" x14ac:dyDescent="0.25">
      <c r="B186" s="1">
        <v>45838</v>
      </c>
      <c r="C186" s="3">
        <f>_xlfn.XLOOKUP($B186,'Raw Data'!$A186:$A377,'Raw Data'!$C186:$C377,0)</f>
        <v>146.3545</v>
      </c>
      <c r="D186" s="3">
        <f>_xlfn.XLOOKUP($B186,'Raw Data'!$E165:$E335,'Raw Data'!$G165:$G335,"")</f>
        <v>88.61</v>
      </c>
      <c r="E186" s="3">
        <f>_xlfn.XLOOKUP($B186,'Raw Data'!$I186:$I377,'Raw Data'!$K186:$K377,"")</f>
        <v>503</v>
      </c>
      <c r="F186" s="3">
        <f>_xlfn.XLOOKUP($B186,'Raw Data'!$M186:$M377,'Raw Data'!$O186:$O377,"")</f>
        <v>2597.5</v>
      </c>
      <c r="G186" s="3">
        <f>_xlfn.XLOOKUP($B186,'Raw Data'!$Q186:$Q377,'Raw Data'!$S186:$S377,"")</f>
        <v>0.65810000000000002</v>
      </c>
      <c r="H186" s="3">
        <f>_xlfn.XLOOKUP($B186,'Raw Data'!$U186:$U377,'Raw Data'!$W186:$W377,"")</f>
        <v>6204.95</v>
      </c>
      <c r="I186" s="3">
        <f>_xlfn.XLOOKUP($B186,'Raw Data'!$AG174:$AG353,'Raw Data'!$AI174:$AI353,"")</f>
        <v>49</v>
      </c>
    </row>
    <row r="187" spans="2:9" x14ac:dyDescent="0.25">
      <c r="B187" s="1">
        <v>45869</v>
      </c>
      <c r="C187" s="3">
        <f>_xlfn.XLOOKUP($B187,'Raw Data'!$A187:$A378,'Raw Data'!$C187:$C378,0)</f>
        <v>149.9676</v>
      </c>
      <c r="D187" s="3">
        <f>_xlfn.XLOOKUP($B187,'Raw Data'!$E166:$E336,'Raw Data'!$G166:$G336,"")</f>
        <v>95.73</v>
      </c>
      <c r="E187" s="3">
        <f>_xlfn.XLOOKUP($B187,'Raw Data'!$I187:$I378,'Raw Data'!$K187:$K378,"")</f>
        <v>435.45</v>
      </c>
      <c r="F187" s="3">
        <f>_xlfn.XLOOKUP($B187,'Raw Data'!$M187:$M378,'Raw Data'!$O187:$O378,"")</f>
        <v>2565</v>
      </c>
      <c r="G187" s="3">
        <f>_xlfn.XLOOKUP($B187,'Raw Data'!$Q187:$Q378,'Raw Data'!$S187:$S378,"")</f>
        <v>0.64249999999999996</v>
      </c>
      <c r="H187" s="3">
        <f>_xlfn.XLOOKUP($B187,'Raw Data'!$U187:$U378,'Raw Data'!$W187:$W378,"")</f>
        <v>6339.39</v>
      </c>
      <c r="I187" s="3">
        <f>_xlfn.XLOOKUP($B187,'Raw Data'!$AG175:$AG354,'Raw Data'!$AI175:$AI354,"")</f>
        <v>48.4</v>
      </c>
    </row>
    <row r="188" spans="2:9" x14ac:dyDescent="0.25">
      <c r="B188" s="1">
        <v>45900</v>
      </c>
      <c r="C188" s="3">
        <f>_xlfn.XLOOKUP($B188,'Raw Data'!$A188:$A379,'Raw Data'!$C188:$C379,0)</f>
        <v>161.17250000000001</v>
      </c>
      <c r="D188" s="3">
        <f>_xlfn.XLOOKUP($B188,'Raw Data'!$E167:$E337,'Raw Data'!$G167:$G337,"")</f>
        <v>98.14</v>
      </c>
      <c r="E188" s="3">
        <f>_xlfn.XLOOKUP($B188,'Raw Data'!$I188:$I379,'Raw Data'!$K188:$K379,"")</f>
        <v>451.85</v>
      </c>
      <c r="F188" s="3">
        <f>_xlfn.XLOOKUP($B188,'Raw Data'!$M188:$M379,'Raw Data'!$O188:$O379,"")</f>
        <v>2615.5</v>
      </c>
      <c r="G188" s="3">
        <f>_xlfn.XLOOKUP($B188,'Raw Data'!$Q188:$Q379,'Raw Data'!$S188:$S379,"")</f>
        <v>0.65400000000000003</v>
      </c>
      <c r="H188" s="3">
        <f>_xlfn.XLOOKUP($B188,'Raw Data'!$U188:$U379,'Raw Data'!$W188:$W379,"")</f>
        <v>6460.26</v>
      </c>
      <c r="I188" s="3">
        <f>_xlfn.XLOOKUP($B188,'Raw Data'!$AG176:$AG355,'Raw Data'!$AI176:$AI355,"")</f>
        <v>48.9</v>
      </c>
    </row>
    <row r="189" spans="2:9" x14ac:dyDescent="0.25">
      <c r="B189" s="1">
        <v>45930</v>
      </c>
      <c r="C189" s="3">
        <f>_xlfn.XLOOKUP($B189,'Raw Data'!$A189:$A380,'Raw Data'!$C189:$C380,0)</f>
        <v>169.62690000000001</v>
      </c>
      <c r="D189" s="3">
        <f>_xlfn.XLOOKUP($B189,'Raw Data'!$E168:$E338,'Raw Data'!$G168:$G338,"")</f>
        <v>98.16</v>
      </c>
      <c r="E189" s="3">
        <f>_xlfn.XLOOKUP($B189,'Raw Data'!$I189:$I380,'Raw Data'!$K189:$K380,"")</f>
        <v>485.65</v>
      </c>
      <c r="F189" s="3">
        <f>_xlfn.XLOOKUP($B189,'Raw Data'!$M189:$M380,'Raw Data'!$O189:$O380,"")</f>
        <v>2680.5</v>
      </c>
      <c r="G189" s="3">
        <f>_xlfn.XLOOKUP($B189,'Raw Data'!$Q189:$Q380,'Raw Data'!$S189:$S380,"")</f>
        <v>0.6613</v>
      </c>
      <c r="H189" s="3">
        <f>_xlfn.XLOOKUP($B189,'Raw Data'!$U189:$U380,'Raw Data'!$W189:$W380,"")</f>
        <v>6688.46</v>
      </c>
      <c r="I189" s="3">
        <f>_xlfn.XLOOKUP($B189,'Raw Data'!$AG177:$AG356,'Raw Data'!$AI177:$AI356,"")</f>
        <v>48.9</v>
      </c>
    </row>
    <row r="190" spans="2:9" x14ac:dyDescent="0.25">
      <c r="B190" s="1">
        <v>45961</v>
      </c>
      <c r="C190" s="3">
        <f>_xlfn.XLOOKUP($B190,'Raw Data'!$A190:$A381,'Raw Data'!$C190:$C381,0)</f>
        <v>184.35140000000001</v>
      </c>
      <c r="D190" s="3">
        <f>_xlfn.XLOOKUP($B190,'Raw Data'!$E169:$E339,'Raw Data'!$G169:$G339,"")</f>
        <v>101.46</v>
      </c>
      <c r="E190" s="3">
        <f>_xlfn.XLOOKUP($B190,'Raw Data'!$I190:$I381,'Raw Data'!$K190:$K381,"")</f>
        <v>508.9</v>
      </c>
      <c r="F190" s="3">
        <f>_xlfn.XLOOKUP($B190,'Raw Data'!$M190:$M381,'Raw Data'!$O190:$O381,"")</f>
        <v>2884</v>
      </c>
      <c r="G190" s="3">
        <f>_xlfn.XLOOKUP($B190,'Raw Data'!$Q190:$Q381,'Raw Data'!$S190:$S381,"")</f>
        <v>0.65449999999999997</v>
      </c>
      <c r="H190" s="3">
        <f>_xlfn.XLOOKUP($B190,'Raw Data'!$U190:$U381,'Raw Data'!$W190:$W381,"")</f>
        <v>6840.2</v>
      </c>
      <c r="I190" s="3">
        <f>_xlfn.XLOOKUP($B190,'Raw Data'!$AG178:$AG357,'Raw Data'!$AI178:$AI357,"")</f>
        <v>48.8</v>
      </c>
    </row>
    <row r="191" spans="2:9" x14ac:dyDescent="0.25">
      <c r="B191" s="1">
        <v>45991</v>
      </c>
      <c r="C191" s="3">
        <f>_xlfn.XLOOKUP($B191,'Raw Data'!$A191:$A382,'Raw Data'!$C191:$C382,0)</f>
        <v>184.89099999999999</v>
      </c>
      <c r="D191" s="3">
        <f>_xlfn.XLOOKUP($B191,'Raw Data'!$E170:$E340,'Raw Data'!$G170:$G340,"")</f>
        <v>101.01</v>
      </c>
      <c r="E191" s="3">
        <f>_xlfn.XLOOKUP($B191,'Raw Data'!$I191:$I382,'Raw Data'!$K191:$K382,"")</f>
        <v>518.54999999999995</v>
      </c>
      <c r="F191" s="3">
        <f>_xlfn.XLOOKUP($B191,'Raw Data'!$M191:$M382,'Raw Data'!$O191:$O382,"")</f>
        <v>2868</v>
      </c>
      <c r="G191" s="3">
        <f>_xlfn.XLOOKUP($B191,'Raw Data'!$Q191:$Q382,'Raw Data'!$S191:$S382,"")</f>
        <v>0.65500000000000003</v>
      </c>
      <c r="H191" s="3">
        <f>_xlfn.XLOOKUP($B191,'Raw Data'!$U191:$U382,'Raw Data'!$W191:$W382,"")</f>
        <v>6849.09</v>
      </c>
      <c r="I191" s="3">
        <f>_xlfn.XLOOKUP($B191,'Raw Data'!$AG179:$AG358,'Raw Data'!$AI179:$AI358,"")</f>
        <v>48</v>
      </c>
    </row>
    <row r="192" spans="2:9" x14ac:dyDescent="0.25">
      <c r="B192" s="1">
        <v>46022</v>
      </c>
      <c r="C192" s="3">
        <f>_xlfn.XLOOKUP($B192,'Raw Data'!$A192:$A383,'Raw Data'!$C192:$C383,0)</f>
        <v>205.65430000000001</v>
      </c>
      <c r="D192" s="3">
        <f>_xlfn.XLOOKUP($B192,'Raw Data'!$E171:$E341,'Raw Data'!$G171:$G341,"")</f>
        <v>103.92</v>
      </c>
      <c r="E192" s="3">
        <f>_xlfn.XLOOKUP($B192,'Raw Data'!$I192:$I383,'Raw Data'!$K192:$K383,"")</f>
        <v>568.20000000000005</v>
      </c>
      <c r="F192" s="3">
        <f>_xlfn.XLOOKUP($B192,'Raw Data'!$M192:$M383,'Raw Data'!$O192:$O383,"")</f>
        <v>2995.5</v>
      </c>
      <c r="G192" s="3">
        <f>_xlfn.XLOOKUP($B192,'Raw Data'!$Q192:$Q383,'Raw Data'!$S192:$S383,"")</f>
        <v>0.6673</v>
      </c>
      <c r="H192" s="3">
        <f>_xlfn.XLOOKUP($B192,'Raw Data'!$U192:$U383,'Raw Data'!$W192:$W383,"")</f>
        <v>6845.5</v>
      </c>
      <c r="I192" s="3">
        <f>_xlfn.XLOOKUP($B192,'Raw Data'!$AG180:$AG359,'Raw Data'!$AI180:$AI359,"")</f>
        <v>47.9</v>
      </c>
    </row>
    <row r="193" spans="2:9" x14ac:dyDescent="0.25">
      <c r="B193" s="1">
        <v>46053</v>
      </c>
      <c r="C193" s="3">
        <f>_xlfn.XLOOKUP($B193,'Raw Data'!$A193:$A384,'Raw Data'!$C193:$C384,0)</f>
        <v>233.9212</v>
      </c>
      <c r="D193" s="3">
        <f>_xlfn.XLOOKUP($B193,'Raw Data'!$E172:$E342,'Raw Data'!$G172:$G342,"")</f>
        <v>103.61</v>
      </c>
      <c r="E193" s="3">
        <f>_xlfn.XLOOKUP($B193,'Raw Data'!$I193:$I384,'Raw Data'!$K193:$K384,"")</f>
        <v>592.4</v>
      </c>
      <c r="F193" s="3">
        <f>_xlfn.XLOOKUP($B193,'Raw Data'!$M193:$M384,'Raw Data'!$O193:$O384,"")</f>
        <v>3144</v>
      </c>
      <c r="G193" s="3">
        <f>_xlfn.XLOOKUP($B193,'Raw Data'!$Q193:$Q384,'Raw Data'!$S193:$S384,"")</f>
        <v>0.69640000000000002</v>
      </c>
      <c r="H193" s="3">
        <f>_xlfn.XLOOKUP($B193,'Raw Data'!$U193:$U384,'Raw Data'!$W193:$W384,"")</f>
        <v>6939.03</v>
      </c>
      <c r="I193" s="3">
        <f>_xlfn.XLOOKUP($B193,'Raw Data'!$AG181:$AG360,'Raw Data'!$AI181:$AI360,"")</f>
        <v>52.6</v>
      </c>
    </row>
    <row r="194" spans="2:9" x14ac:dyDescent="0.25">
      <c r="B194" s="1">
        <v>46081</v>
      </c>
      <c r="C194" s="3">
        <f>_xlfn.XLOOKUP($B194,'Raw Data'!$A194:$A385,'Raw Data'!$C194:$C385,0)</f>
        <v>255.27549999999999</v>
      </c>
      <c r="D194" s="3">
        <f>_xlfn.XLOOKUP($B194,'Raw Data'!$E173:$E343,'Raw Data'!$G173:$G343,"")</f>
        <v>99.47</v>
      </c>
      <c r="E194" s="3">
        <f>_xlfn.XLOOKUP($B194,'Raw Data'!$I194:$I385,'Raw Data'!$K194:$K385,"")</f>
        <v>600.45000000000005</v>
      </c>
      <c r="F194" s="3">
        <f>_xlfn.XLOOKUP($B194,'Raw Data'!$M194:$M385,'Raw Data'!$O194:$O385,"")</f>
        <v>3140</v>
      </c>
      <c r="G194" s="3">
        <f>_xlfn.XLOOKUP($B194,'Raw Data'!$Q194:$Q385,'Raw Data'!$S194:$S385,"")</f>
        <v>0.71179999999999999</v>
      </c>
      <c r="H194" s="3">
        <f>_xlfn.XLOOKUP($B194,'Raw Data'!$U194:$U385,'Raw Data'!$W194:$W385,"")</f>
        <v>6878.88</v>
      </c>
      <c r="I194" s="3">
        <f>_xlfn.XLOOKUP($B194,'Raw Data'!$AG182:$AG361,'Raw Data'!$AI182:$AI361,"")</f>
        <v>52.4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A6A6-7F8A-42F6-9B1E-687D9465A4DD}">
  <dimension ref="A1:H588"/>
  <sheetViews>
    <sheetView showGridLines="0" tabSelected="1" workbookViewId="0">
      <selection activeCell="K1" sqref="K1"/>
    </sheetView>
  </sheetViews>
  <sheetFormatPr defaultRowHeight="15" x14ac:dyDescent="0.25"/>
  <cols>
    <col min="1" max="1" width="10.7109375" bestFit="1" customWidth="1"/>
    <col min="2" max="7" width="12.7109375" bestFit="1" customWidth="1"/>
    <col min="8" max="8" width="6.28515625" bestFit="1" customWidth="1"/>
  </cols>
  <sheetData>
    <row r="1" spans="1:8" x14ac:dyDescent="0.25">
      <c r="A1" s="2" t="s">
        <v>15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5">
      <c r="A2" s="1">
        <f>Monthly_Prices_RAW!B3</f>
        <v>40268</v>
      </c>
      <c r="B2">
        <f>IF(OR(Monthly_Prices_RAW!C4="",Monthly_Prices_RAW!C3=""),"",LN(Monthly_Prices_RAW!C4/Monthly_Prices_RAW!C3))</f>
        <v>-0.15154913008718912</v>
      </c>
      <c r="C2" t="str">
        <f>IF(OR(Monthly_Prices_RAW!D4="",Monthly_Prices_RAW!D3=""),"",LN(Monthly_Prices_RAW!D4/Monthly_Prices_RAW!D3))</f>
        <v/>
      </c>
      <c r="D2">
        <f>IF(OR(Monthly_Prices_RAW!E4="",Monthly_Prices_RAW!E3=""),"",LN(Monthly_Prices_RAW!E4/Monthly_Prices_RAW!E3))</f>
        <v>-6.2711009558444969E-2</v>
      </c>
      <c r="E2">
        <f>IF(OR(Monthly_Prices_RAW!F4="",Monthly_Prices_RAW!F3=""),"",LN(Monthly_Prices_RAW!F4/Monthly_Prices_RAW!F3))</f>
        <v>-2.9709480833630442E-2</v>
      </c>
      <c r="F2">
        <f>IF(OR(Monthly_Prices_RAW!G4="",Monthly_Prices_RAW!G3=""),"",LN(Monthly_Prices_RAW!G4/Monthly_Prices_RAW!G3))</f>
        <v>7.711143286982582E-3</v>
      </c>
      <c r="G2">
        <f>IF(OR(Monthly_Prices_RAW!H4="",Monthly_Prices_RAW!H3=""),"",LN(Monthly_Prices_RAW!H4/Monthly_Prices_RAW!H3))</f>
        <v>1.4651468311863144E-2</v>
      </c>
      <c r="H2" t="str">
        <f>IF(OR(Monthly_Prices_RAW!I4="",Monthly_Prices_RAW!I3=""),"",Monthly_Prices_RAW!I4-Monthly_Prices_RAW!I3)</f>
        <v/>
      </c>
    </row>
    <row r="3" spans="1:8" x14ac:dyDescent="0.25">
      <c r="A3" s="1">
        <f>Monthly_Prices_RAW!B4</f>
        <v>40298</v>
      </c>
      <c r="B3">
        <f>IF(OR(Monthly_Prices_RAW!C5="",Monthly_Prices_RAW!C4=""),"",LN(Monthly_Prices_RAW!C5/Monthly_Prices_RAW!C4))</f>
        <v>-9.8263809991370688E-2</v>
      </c>
      <c r="C3" t="str">
        <f>IF(OR(Monthly_Prices_RAW!D5="",Monthly_Prices_RAW!D4=""),"",LN(Monthly_Prices_RAW!D5/Monthly_Prices_RAW!D4))</f>
        <v/>
      </c>
      <c r="D3">
        <f>IF(OR(Monthly_Prices_RAW!E5="",Monthly_Prices_RAW!E4=""),"",LN(Monthly_Prices_RAW!E5/Monthly_Prices_RAW!E4))</f>
        <v>-7.2369351903557561E-2</v>
      </c>
      <c r="E3">
        <f>IF(OR(Monthly_Prices_RAW!F5="",Monthly_Prices_RAW!F4=""),"",LN(Monthly_Prices_RAW!F5/Monthly_Prices_RAW!F4))</f>
        <v>-9.8730657119156642E-2</v>
      </c>
      <c r="F3">
        <f>IF(OR(Monthly_Prices_RAW!G5="",Monthly_Prices_RAW!G4=""),"",LN(Monthly_Prices_RAW!G5/Monthly_Prices_RAW!G4))</f>
        <v>-8.8635544960763132E-2</v>
      </c>
      <c r="G3">
        <f>IF(OR(Monthly_Prices_RAW!H5="",Monthly_Prices_RAW!H4=""),"",LN(Monthly_Prices_RAW!H5/Monthly_Prices_RAW!H4))</f>
        <v>-8.5531653633770133E-2</v>
      </c>
      <c r="H3" t="str">
        <f>IF(OR(Monthly_Prices_RAW!I5="",Monthly_Prices_RAW!I4=""),"",Monthly_Prices_RAW!I5-Monthly_Prices_RAW!I4)</f>
        <v/>
      </c>
    </row>
    <row r="4" spans="1:8" x14ac:dyDescent="0.25">
      <c r="A4" s="1">
        <f>Monthly_Prices_RAW!B5</f>
        <v>40329</v>
      </c>
      <c r="B4">
        <f>IF(OR(Monthly_Prices_RAW!C6="",Monthly_Prices_RAW!C5=""),"",LN(Monthly_Prices_RAW!C6/Monthly_Prices_RAW!C5))</f>
        <v>-5.5755799647614235E-2</v>
      </c>
      <c r="C4" t="str">
        <f>IF(OR(Monthly_Prices_RAW!D6="",Monthly_Prices_RAW!D5=""),"",LN(Monthly_Prices_RAW!D6/Monthly_Prices_RAW!D5))</f>
        <v/>
      </c>
      <c r="D4">
        <f>IF(OR(Monthly_Prices_RAW!E6="",Monthly_Prices_RAW!E5=""),"",LN(Monthly_Prices_RAW!E6/Monthly_Prices_RAW!E5))</f>
        <v>-5.5804561070541207E-2</v>
      </c>
      <c r="E4">
        <f>IF(OR(Monthly_Prices_RAW!F6="",Monthly_Prices_RAW!F5=""),"",LN(Monthly_Prices_RAW!F6/Monthly_Prices_RAW!F5))</f>
        <v>-3.2585895175813069E-2</v>
      </c>
      <c r="F4">
        <f>IF(OR(Monthly_Prices_RAW!G6="",Monthly_Prices_RAW!G5=""),"",LN(Monthly_Prices_RAW!G6/Monthly_Prices_RAW!G5))</f>
        <v>-6.0473297472274428E-3</v>
      </c>
      <c r="G4">
        <f>IF(OR(Monthly_Prices_RAW!H6="",Monthly_Prices_RAW!H5=""),"",LN(Monthly_Prices_RAW!H6/Monthly_Prices_RAW!H5))</f>
        <v>-5.5388380132376618E-2</v>
      </c>
      <c r="H4" t="str">
        <f>IF(OR(Monthly_Prices_RAW!I6="",Monthly_Prices_RAW!I5=""),"",Monthly_Prices_RAW!I6-Monthly_Prices_RAW!I5)</f>
        <v/>
      </c>
    </row>
    <row r="5" spans="1:8" x14ac:dyDescent="0.25">
      <c r="A5" s="1">
        <f>Monthly_Prices_RAW!B6</f>
        <v>40359</v>
      </c>
      <c r="B5">
        <f>IF(OR(Monthly_Prices_RAW!C7="",Monthly_Prices_RAW!C6=""),"",LN(Monthly_Prices_RAW!C7/Monthly_Prices_RAW!C6))</f>
        <v>0.17464692204084592</v>
      </c>
      <c r="C5" t="str">
        <f>IF(OR(Monthly_Prices_RAW!D7="",Monthly_Prices_RAW!D6=""),"",LN(Monthly_Prices_RAW!D7/Monthly_Prices_RAW!D6))</f>
        <v/>
      </c>
      <c r="D5">
        <f>IF(OR(Monthly_Prices_RAW!E7="",Monthly_Prices_RAW!E6=""),"",LN(Monthly_Prices_RAW!E7/Monthly_Prices_RAW!E6))</f>
        <v>0.1203531481906278</v>
      </c>
      <c r="E5">
        <f>IF(OR(Monthly_Prices_RAW!F7="",Monthly_Prices_RAW!F6=""),"",LN(Monthly_Prices_RAW!F7/Monthly_Prices_RAW!F6))</f>
        <v>9.5195243880975555E-2</v>
      </c>
      <c r="F5">
        <f>IF(OR(Monthly_Prices_RAW!G7="",Monthly_Prices_RAW!G6=""),"",LN(Monthly_Prices_RAW!G7/Monthly_Prices_RAW!G6))</f>
        <v>7.2696755297763524E-2</v>
      </c>
      <c r="G5">
        <f>IF(OR(Monthly_Prices_RAW!H7="",Monthly_Prices_RAW!H6=""),"",LN(Monthly_Prices_RAW!H7/Monthly_Prices_RAW!H6))</f>
        <v>6.6515783274589638E-2</v>
      </c>
      <c r="H5" t="str">
        <f>IF(OR(Monthly_Prices_RAW!I7="",Monthly_Prices_RAW!I6=""),"",Monthly_Prices_RAW!I7-Monthly_Prices_RAW!I6)</f>
        <v/>
      </c>
    </row>
    <row r="6" spans="1:8" x14ac:dyDescent="0.25">
      <c r="A6" s="1">
        <f>Monthly_Prices_RAW!B7</f>
        <v>40390</v>
      </c>
      <c r="B6">
        <f>IF(OR(Monthly_Prices_RAW!C8="",Monthly_Prices_RAW!C7=""),"",LN(Monthly_Prices_RAW!C8/Monthly_Prices_RAW!C7))</f>
        <v>-2.0615515381395066E-2</v>
      </c>
      <c r="C6" t="str">
        <f>IF(OR(Monthly_Prices_RAW!D8="",Monthly_Prices_RAW!D7=""),"",LN(Monthly_Prices_RAW!D8/Monthly_Prices_RAW!D7))</f>
        <v/>
      </c>
      <c r="D6">
        <f>IF(OR(Monthly_Prices_RAW!E8="",Monthly_Prices_RAW!E7=""),"",LN(Monthly_Prices_RAW!E8/Monthly_Prices_RAW!E7))</f>
        <v>1.483728980007174E-2</v>
      </c>
      <c r="E6">
        <f>IF(OR(Monthly_Prices_RAW!F8="",Monthly_Prices_RAW!F7=""),"",LN(Monthly_Prices_RAW!F8/Monthly_Prices_RAW!F7))</f>
        <v>-5.5294027128789502E-2</v>
      </c>
      <c r="F6">
        <f>IF(OR(Monthly_Prices_RAW!G8="",Monthly_Prices_RAW!G7=""),"",LN(Monthly_Prices_RAW!G8/Monthly_Prices_RAW!G7))</f>
        <v>-1.5155181972902826E-2</v>
      </c>
      <c r="G6">
        <f>IF(OR(Monthly_Prices_RAW!H8="",Monthly_Prices_RAW!H7=""),"",LN(Monthly_Prices_RAW!H8/Monthly_Prices_RAW!H7))</f>
        <v>-4.8611803170382606E-2</v>
      </c>
      <c r="H6" t="str">
        <f>IF(OR(Monthly_Prices_RAW!I8="",Monthly_Prices_RAW!I7=""),"",Monthly_Prices_RAW!I8-Monthly_Prices_RAW!I7)</f>
        <v/>
      </c>
    </row>
    <row r="7" spans="1:8" x14ac:dyDescent="0.25">
      <c r="A7" s="1">
        <f>Monthly_Prices_RAW!B8</f>
        <v>40421</v>
      </c>
      <c r="B7">
        <f>IF(OR(Monthly_Prices_RAW!C9="",Monthly_Prices_RAW!C8=""),"",LN(Monthly_Prices_RAW!C9/Monthly_Prices_RAW!C8))</f>
        <v>0.15236324966569864</v>
      </c>
      <c r="C7" t="str">
        <f>IF(OR(Monthly_Prices_RAW!D9="",Monthly_Prices_RAW!D8=""),"",LN(Monthly_Prices_RAW!D9/Monthly_Prices_RAW!D8))</f>
        <v/>
      </c>
      <c r="D7">
        <f>IF(OR(Monthly_Prices_RAW!E9="",Monthly_Prices_RAW!E8=""),"",LN(Monthly_Prices_RAW!E9/Monthly_Prices_RAW!E8))</f>
        <v>8.2899493335058638E-2</v>
      </c>
      <c r="E7">
        <f>IF(OR(Monthly_Prices_RAW!F9="",Monthly_Prices_RAW!F8=""),"",LN(Monthly_Prices_RAW!F9/Monthly_Prices_RAW!F8))</f>
        <v>0.13310613214607453</v>
      </c>
      <c r="F7">
        <f>IF(OR(Monthly_Prices_RAW!G9="",Monthly_Prices_RAW!G8=""),"",LN(Monthly_Prices_RAW!G9/Monthly_Prices_RAW!G8))</f>
        <v>8.2406509835315445E-2</v>
      </c>
      <c r="G7">
        <f>IF(OR(Monthly_Prices_RAW!H9="",Monthly_Prices_RAW!H8=""),"",LN(Monthly_Prices_RAW!H9/Monthly_Prices_RAW!H8))</f>
        <v>8.3928475095282604E-2</v>
      </c>
      <c r="H7" t="str">
        <f>IF(OR(Monthly_Prices_RAW!I9="",Monthly_Prices_RAW!I8=""),"",Monthly_Prices_RAW!I9-Monthly_Prices_RAW!I8)</f>
        <v/>
      </c>
    </row>
    <row r="8" spans="1:8" x14ac:dyDescent="0.25">
      <c r="A8" s="1">
        <f>Monthly_Prices_RAW!B9</f>
        <v>40451</v>
      </c>
      <c r="B8">
        <f>IF(OR(Monthly_Prices_RAW!C10="",Monthly_Prices_RAW!C9=""),"",LN(Monthly_Prices_RAW!C10/Monthly_Prices_RAW!C9))</f>
        <v>0.10328175526964316</v>
      </c>
      <c r="C8" t="str">
        <f>IF(OR(Monthly_Prices_RAW!D10="",Monthly_Prices_RAW!D9=""),"",LN(Monthly_Prices_RAW!D10/Monthly_Prices_RAW!D9))</f>
        <v/>
      </c>
      <c r="D8">
        <f>IF(OR(Monthly_Prices_RAW!E10="",Monthly_Prices_RAW!E9=""),"",LN(Monthly_Prices_RAW!E10/Monthly_Prices_RAW!E9))</f>
        <v>2.2208089415592082E-2</v>
      </c>
      <c r="E8">
        <f>IF(OR(Monthly_Prices_RAW!F10="",Monthly_Prices_RAW!F9=""),"",LN(Monthly_Prices_RAW!F10/Monthly_Prices_RAW!F9))</f>
        <v>-2.981897843166255E-3</v>
      </c>
      <c r="F8">
        <f>IF(OR(Monthly_Prices_RAW!G10="",Monthly_Prices_RAW!G9=""),"",LN(Monthly_Prices_RAW!G10/Monthly_Prices_RAW!G9))</f>
        <v>1.6815735106196279E-2</v>
      </c>
      <c r="G8">
        <f>IF(OR(Monthly_Prices_RAW!H10="",Monthly_Prices_RAW!H9=""),"",LN(Monthly_Prices_RAW!H10/Monthly_Prices_RAW!H9))</f>
        <v>3.6193000710687595E-2</v>
      </c>
      <c r="H8" t="str">
        <f>IF(OR(Monthly_Prices_RAW!I10="",Monthly_Prices_RAW!I9=""),"",Monthly_Prices_RAW!I10-Monthly_Prices_RAW!I9)</f>
        <v/>
      </c>
    </row>
    <row r="9" spans="1:8" x14ac:dyDescent="0.25">
      <c r="A9" s="1">
        <f>Monthly_Prices_RAW!B10</f>
        <v>40482</v>
      </c>
      <c r="B9">
        <f>IF(OR(Monthly_Prices_RAW!C11="",Monthly_Prices_RAW!C10=""),"",LN(Monthly_Prices_RAW!C11/Monthly_Prices_RAW!C10))</f>
        <v>-1.5320179812242568E-2</v>
      </c>
      <c r="C9" t="str">
        <f>IF(OR(Monthly_Prices_RAW!D11="",Monthly_Prices_RAW!D10=""),"",LN(Monthly_Prices_RAW!D11/Monthly_Prices_RAW!D10))</f>
        <v/>
      </c>
      <c r="D9">
        <f>IF(OR(Monthly_Prices_RAW!E11="",Monthly_Prices_RAW!E10=""),"",LN(Monthly_Prices_RAW!E11/Monthly_Prices_RAW!E10))</f>
        <v>2.3689323220656311E-2</v>
      </c>
      <c r="E9">
        <f>IF(OR(Monthly_Prices_RAW!F11="",Monthly_Prices_RAW!F10=""),"",LN(Monthly_Prices_RAW!F11/Monthly_Prices_RAW!F10))</f>
        <v>-2.9878819311852465E-2</v>
      </c>
      <c r="F9">
        <f>IF(OR(Monthly_Prices_RAW!G11="",Monthly_Prices_RAW!G10=""),"",LN(Monthly_Prices_RAW!G11/Monthly_Prices_RAW!G10))</f>
        <v>-2.5435135268884478E-2</v>
      </c>
      <c r="G9">
        <f>IF(OR(Monthly_Prices_RAW!H11="",Monthly_Prices_RAW!H10=""),"",LN(Monthly_Prices_RAW!H11/Monthly_Prices_RAW!H10))</f>
        <v>-2.2929094870601432E-3</v>
      </c>
      <c r="H9" t="str">
        <f>IF(OR(Monthly_Prices_RAW!I11="",Monthly_Prices_RAW!I10=""),"",Monthly_Prices_RAW!I11-Monthly_Prices_RAW!I10)</f>
        <v/>
      </c>
    </row>
    <row r="10" spans="1:8" x14ac:dyDescent="0.25">
      <c r="A10" s="1">
        <f>Monthly_Prices_RAW!B11</f>
        <v>40512</v>
      </c>
      <c r="B10">
        <f>IF(OR(Monthly_Prices_RAW!C12="",Monthly_Prices_RAW!C11=""),"",LN(Monthly_Prices_RAW!C12/Monthly_Prices_RAW!C11))</f>
        <v>0.11102062944743554</v>
      </c>
      <c r="C10" t="str">
        <f>IF(OR(Monthly_Prices_RAW!D12="",Monthly_Prices_RAW!D11=""),"",LN(Monthly_Prices_RAW!D12/Monthly_Prices_RAW!D11))</f>
        <v/>
      </c>
      <c r="D10">
        <f>IF(OR(Monthly_Prices_RAW!E12="",Monthly_Prices_RAW!E11=""),"",LN(Monthly_Prices_RAW!E12/Monthly_Prices_RAW!E11))</f>
        <v>0.15119425681428364</v>
      </c>
      <c r="E10">
        <f>IF(OR(Monthly_Prices_RAW!F12="",Monthly_Prices_RAW!F11=""),"",LN(Monthly_Prices_RAW!F12/Monthly_Prices_RAW!F11))</f>
        <v>8.2238098236972007E-2</v>
      </c>
      <c r="F10">
        <f>IF(OR(Monthly_Prices_RAW!G12="",Monthly_Prices_RAW!G11=""),"",LN(Monthly_Prices_RAW!G12/Monthly_Prices_RAW!G11))</f>
        <v>6.5105475532480597E-2</v>
      </c>
      <c r="G10">
        <f>IF(OR(Monthly_Prices_RAW!H12="",Monthly_Prices_RAW!H11=""),"",LN(Monthly_Prices_RAW!H12/Monthly_Prices_RAW!H11))</f>
        <v>6.3256517221926059E-2</v>
      </c>
      <c r="H10" t="str">
        <f>IF(OR(Monthly_Prices_RAW!I12="",Monthly_Prices_RAW!I11=""),"",Monthly_Prices_RAW!I12-Monthly_Prices_RAW!I11)</f>
        <v/>
      </c>
    </row>
    <row r="11" spans="1:8" x14ac:dyDescent="0.25">
      <c r="A11" s="1">
        <f>Monthly_Prices_RAW!B12</f>
        <v>40543</v>
      </c>
      <c r="B11">
        <f>IF(OR(Monthly_Prices_RAW!C13="",Monthly_Prices_RAW!C12=""),"",LN(Monthly_Prices_RAW!C13/Monthly_Prices_RAW!C12))</f>
        <v>-3.0893601628214407E-2</v>
      </c>
      <c r="C11" t="str">
        <f>IF(OR(Monthly_Prices_RAW!D13="",Monthly_Prices_RAW!D12=""),"",LN(Monthly_Prices_RAW!D13/Monthly_Prices_RAW!D12))</f>
        <v/>
      </c>
      <c r="D11">
        <f>IF(OR(Monthly_Prices_RAW!E13="",Monthly_Prices_RAW!E12=""),"",LN(Monthly_Prices_RAW!E13/Monthly_Prices_RAW!E12))</f>
        <v>2.5826750642377323E-3</v>
      </c>
      <c r="E11">
        <f>IF(OR(Monthly_Prices_RAW!F13="",Monthly_Prices_RAW!F12=""),"",LN(Monthly_Prices_RAW!F13/Monthly_Prices_RAW!F12))</f>
        <v>2.0040750883446191E-2</v>
      </c>
      <c r="F11">
        <f>IF(OR(Monthly_Prices_RAW!G13="",Monthly_Prices_RAW!G12=""),"",LN(Monthly_Prices_RAW!G13/Monthly_Prices_RAW!G12))</f>
        <v>-2.5636084980687757E-2</v>
      </c>
      <c r="G11">
        <f>IF(OR(Monthly_Prices_RAW!H13="",Monthly_Prices_RAW!H12=""),"",LN(Monthly_Prices_RAW!H13/Monthly_Prices_RAW!H12))</f>
        <v>2.239298525651701E-2</v>
      </c>
      <c r="H11" t="str">
        <f>IF(OR(Monthly_Prices_RAW!I13="",Monthly_Prices_RAW!I12=""),"",Monthly_Prices_RAW!I13-Monthly_Prices_RAW!I12)</f>
        <v/>
      </c>
    </row>
    <row r="12" spans="1:8" x14ac:dyDescent="0.25">
      <c r="A12" s="1">
        <f>Monthly_Prices_RAW!B13</f>
        <v>40574</v>
      </c>
      <c r="B12">
        <f>IF(OR(Monthly_Prices_RAW!C14="",Monthly_Prices_RAW!C13=""),"",LN(Monthly_Prices_RAW!C14/Monthly_Prices_RAW!C13))</f>
        <v>2.2767615237820747E-2</v>
      </c>
      <c r="C12" t="str">
        <f>IF(OR(Monthly_Prices_RAW!D14="",Monthly_Prices_RAW!D13=""),"",LN(Monthly_Prices_RAW!D14/Monthly_Prices_RAW!D13))</f>
        <v/>
      </c>
      <c r="D12">
        <f>IF(OR(Monthly_Prices_RAW!E14="",Monthly_Prices_RAW!E13=""),"",LN(Monthly_Prices_RAW!E14/Monthly_Prices_RAW!E13))</f>
        <v>4.3641315837659369E-3</v>
      </c>
      <c r="E12">
        <f>IF(OR(Monthly_Prices_RAW!F14="",Monthly_Prices_RAW!F13=""),"",LN(Monthly_Prices_RAW!F14/Monthly_Prices_RAW!F13))</f>
        <v>3.125254350410453E-2</v>
      </c>
      <c r="F12">
        <f>IF(OR(Monthly_Prices_RAW!G14="",Monthly_Prices_RAW!G13=""),"",LN(Monthly_Prices_RAW!G14/Monthly_Prices_RAW!G13))</f>
        <v>2.1032521338482064E-2</v>
      </c>
      <c r="G12">
        <f>IF(OR(Monthly_Prices_RAW!H14="",Monthly_Prices_RAW!H13=""),"",LN(Monthly_Prices_RAW!H14/Monthly_Prices_RAW!H13))</f>
        <v>3.1456595040144836E-2</v>
      </c>
      <c r="H12" t="str">
        <f>IF(OR(Monthly_Prices_RAW!I14="",Monthly_Prices_RAW!I13=""),"",Monthly_Prices_RAW!I14-Monthly_Prices_RAW!I13)</f>
        <v/>
      </c>
    </row>
    <row r="13" spans="1:8" x14ac:dyDescent="0.25">
      <c r="A13" s="1">
        <f>Monthly_Prices_RAW!B14</f>
        <v>40602</v>
      </c>
      <c r="B13">
        <f>IF(OR(Monthly_Prices_RAW!C15="",Monthly_Prices_RAW!C14=""),"",LN(Monthly_Prices_RAW!C15/Monthly_Prices_RAW!C14))</f>
        <v>9.5612008196556859E-3</v>
      </c>
      <c r="C13" t="str">
        <f>IF(OR(Monthly_Prices_RAW!D15="",Monthly_Prices_RAW!D14=""),"",LN(Monthly_Prices_RAW!D15/Monthly_Prices_RAW!D14))</f>
        <v/>
      </c>
      <c r="D13">
        <f>IF(OR(Monthly_Prices_RAW!E15="",Monthly_Prices_RAW!E14=""),"",LN(Monthly_Prices_RAW!E15/Monthly_Prices_RAW!E14))</f>
        <v>-3.8818828756615485E-2</v>
      </c>
      <c r="E13">
        <f>IF(OR(Monthly_Prices_RAW!F15="",Monthly_Prices_RAW!F14=""),"",LN(Monthly_Prices_RAW!F15/Monthly_Prices_RAW!F14))</f>
        <v>1.8293193047325483E-2</v>
      </c>
      <c r="F13">
        <f>IF(OR(Monthly_Prices_RAW!G15="",Monthly_Prices_RAW!G14=""),"",LN(Monthly_Prices_RAW!G15/Monthly_Prices_RAW!G14))</f>
        <v>1.3941244562083442E-2</v>
      </c>
      <c r="G13">
        <f>IF(OR(Monthly_Prices_RAW!H15="",Monthly_Prices_RAW!H14=""),"",LN(Monthly_Prices_RAW!H15/Monthly_Prices_RAW!H14))</f>
        <v>-1.0478506829378123E-3</v>
      </c>
      <c r="H13" t="str">
        <f>IF(OR(Monthly_Prices_RAW!I15="",Monthly_Prices_RAW!I14=""),"",Monthly_Prices_RAW!I15-Monthly_Prices_RAW!I14)</f>
        <v/>
      </c>
    </row>
    <row r="14" spans="1:8" x14ac:dyDescent="0.25">
      <c r="A14" s="1">
        <f>Monthly_Prices_RAW!B15</f>
        <v>40633</v>
      </c>
      <c r="B14">
        <f>IF(OR(Monthly_Prices_RAW!C16="",Monthly_Prices_RAW!C15=""),"",LN(Monthly_Prices_RAW!C16/Monthly_Prices_RAW!C15))</f>
        <v>2.8963455855231805E-2</v>
      </c>
      <c r="C14" t="str">
        <f>IF(OR(Monthly_Prices_RAW!D16="",Monthly_Prices_RAW!D15=""),"",LN(Monthly_Prices_RAW!D16/Monthly_Prices_RAW!D15))</f>
        <v/>
      </c>
      <c r="D14">
        <f>IF(OR(Monthly_Prices_RAW!E16="",Monthly_Prices_RAW!E15=""),"",LN(Monthly_Prices_RAW!E16/Monthly_Prices_RAW!E15))</f>
        <v>-3.3521372987120775E-2</v>
      </c>
      <c r="E14">
        <f>IF(OR(Monthly_Prices_RAW!F16="",Monthly_Prices_RAW!F15=""),"",LN(Monthly_Prices_RAW!F16/Monthly_Prices_RAW!F15))</f>
        <v>4.4139747525893065E-2</v>
      </c>
      <c r="F14">
        <f>IF(OR(Monthly_Prices_RAW!G16="",Monthly_Prices_RAW!G15=""),"",LN(Monthly_Prices_RAW!G16/Monthly_Prices_RAW!G15))</f>
        <v>6.0299954810857551E-2</v>
      </c>
      <c r="G14">
        <f>IF(OR(Monthly_Prices_RAW!H16="",Monthly_Prices_RAW!H15=""),"",LN(Monthly_Prices_RAW!H16/Monthly_Prices_RAW!H15))</f>
        <v>2.809691636712916E-2</v>
      </c>
      <c r="H14">
        <f>IF(OR(Monthly_Prices_RAW!I16="",Monthly_Prices_RAW!I15=""),"",Monthly_Prices_RAW!I16-Monthly_Prices_RAW!I15)</f>
        <v>-0.5</v>
      </c>
    </row>
    <row r="15" spans="1:8" x14ac:dyDescent="0.25">
      <c r="A15" s="1">
        <f>Monthly_Prices_RAW!B16</f>
        <v>40663</v>
      </c>
      <c r="B15">
        <f>IF(OR(Monthly_Prices_RAW!C17="",Monthly_Prices_RAW!C16=""),"",LN(Monthly_Prices_RAW!C17/Monthly_Prices_RAW!C16))</f>
        <v>-4.3123220896305194E-2</v>
      </c>
      <c r="C15" t="str">
        <f>IF(OR(Monthly_Prices_RAW!D17="",Monthly_Prices_RAW!D16=""),"",LN(Monthly_Prices_RAW!D17/Monthly_Prices_RAW!D16))</f>
        <v/>
      </c>
      <c r="D15">
        <f>IF(OR(Monthly_Prices_RAW!E17="",Monthly_Prices_RAW!E16=""),"",LN(Monthly_Prices_RAW!E17/Monthly_Prices_RAW!E16))</f>
        <v>2.8766650545848237E-3</v>
      </c>
      <c r="E15">
        <f>IF(OR(Monthly_Prices_RAW!F17="",Monthly_Prices_RAW!F16=""),"",LN(Monthly_Prices_RAW!F17/Monthly_Prices_RAW!F16))</f>
        <v>-3.399500525268502E-2</v>
      </c>
      <c r="F15">
        <f>IF(OR(Monthly_Prices_RAW!G17="",Monthly_Prices_RAW!G16=""),"",LN(Monthly_Prices_RAW!G17/Monthly_Prices_RAW!G16))</f>
        <v>-2.7631938662085985E-2</v>
      </c>
      <c r="G15">
        <f>IF(OR(Monthly_Prices_RAW!H17="",Monthly_Prices_RAW!H16=""),"",LN(Monthly_Prices_RAW!H17/Monthly_Prices_RAW!H16))</f>
        <v>-1.3592893899637262E-2</v>
      </c>
      <c r="H15">
        <f>IF(OR(Monthly_Prices_RAW!I17="",Monthly_Prices_RAW!I16=""),"",Monthly_Prices_RAW!I17-Monthly_Prices_RAW!I16)</f>
        <v>-3.1000000000000014</v>
      </c>
    </row>
    <row r="16" spans="1:8" x14ac:dyDescent="0.25">
      <c r="A16" s="1">
        <f>Monthly_Prices_RAW!B17</f>
        <v>40694</v>
      </c>
      <c r="B16">
        <f>IF(OR(Monthly_Prices_RAW!C18="",Monthly_Prices_RAW!C17=""),"",LN(Monthly_Prices_RAW!C18/Monthly_Prices_RAW!C17))</f>
        <v>3.0892085555590625E-2</v>
      </c>
      <c r="C16" t="str">
        <f>IF(OR(Monthly_Prices_RAW!D18="",Monthly_Prices_RAW!D17=""),"",LN(Monthly_Prices_RAW!D18/Monthly_Prices_RAW!D17))</f>
        <v/>
      </c>
      <c r="D16">
        <f>IF(OR(Monthly_Prices_RAW!E18="",Monthly_Prices_RAW!E17=""),"",LN(Monthly_Prices_RAW!E18/Monthly_Prices_RAW!E17))</f>
        <v>2.2369120170481885E-2</v>
      </c>
      <c r="E16">
        <f>IF(OR(Monthly_Prices_RAW!F18="",Monthly_Prices_RAW!F17=""),"",LN(Monthly_Prices_RAW!F18/Monthly_Prices_RAW!F17))</f>
        <v>-5.4939876066040089E-2</v>
      </c>
      <c r="F16">
        <f>IF(OR(Monthly_Prices_RAW!G18="",Monthly_Prices_RAW!G17=""),"",LN(Monthly_Prices_RAW!G18/Monthly_Prices_RAW!G17))</f>
        <v>4.6742162320781181E-3</v>
      </c>
      <c r="G16">
        <f>IF(OR(Monthly_Prices_RAW!H18="",Monthly_Prices_RAW!H17=""),"",LN(Monthly_Prices_RAW!H18/Monthly_Prices_RAW!H17))</f>
        <v>-1.8426233301897538E-2</v>
      </c>
      <c r="H16">
        <f>IF(OR(Monthly_Prices_RAW!I18="",Monthly_Prices_RAW!I17=""),"",Monthly_Prices_RAW!I18-Monthly_Prices_RAW!I17)</f>
        <v>1</v>
      </c>
    </row>
    <row r="17" spans="1:8" x14ac:dyDescent="0.25">
      <c r="A17" s="1">
        <f>Monthly_Prices_RAW!B18</f>
        <v>40724</v>
      </c>
      <c r="B17">
        <f>IF(OR(Monthly_Prices_RAW!C19="",Monthly_Prices_RAW!C18=""),"",LN(Monthly_Prices_RAW!C19/Monthly_Prices_RAW!C18))</f>
        <v>-1.8701772526120163E-2</v>
      </c>
      <c r="C17" t="str">
        <f>IF(OR(Monthly_Prices_RAW!D19="",Monthly_Prices_RAW!D18=""),"",LN(Monthly_Prices_RAW!D19/Monthly_Prices_RAW!D18))</f>
        <v/>
      </c>
      <c r="D17">
        <f>IF(OR(Monthly_Prices_RAW!E19="",Monthly_Prices_RAW!E18=""),"",LN(Monthly_Prices_RAW!E19/Monthly_Prices_RAW!E18))</f>
        <v>4.7429331397602241E-2</v>
      </c>
      <c r="E17">
        <f>IF(OR(Monthly_Prices_RAW!F19="",Monthly_Prices_RAW!F18=""),"",LN(Monthly_Prices_RAW!F19/Monthly_Prices_RAW!F18))</f>
        <v>3.5690366799912755E-2</v>
      </c>
      <c r="F17">
        <f>IF(OR(Monthly_Prices_RAW!G19="",Monthly_Prices_RAW!G18=""),"",LN(Monthly_Prices_RAW!G19/Monthly_Prices_RAW!G18))</f>
        <v>2.496100119138055E-2</v>
      </c>
      <c r="G17">
        <f>IF(OR(Monthly_Prices_RAW!H19="",Monthly_Prices_RAW!H18=""),"",LN(Monthly_Prices_RAW!H19/Monthly_Prices_RAW!H18))</f>
        <v>-2.1708367435427242E-2</v>
      </c>
      <c r="H17">
        <f>IF(OR(Monthly_Prices_RAW!I19="",Monthly_Prices_RAW!I18=""),"",Monthly_Prices_RAW!I19-Monthly_Prices_RAW!I18)</f>
        <v>-2.8999999999999986</v>
      </c>
    </row>
    <row r="18" spans="1:8" x14ac:dyDescent="0.25">
      <c r="A18" s="1">
        <f>Monthly_Prices_RAW!B19</f>
        <v>40755</v>
      </c>
      <c r="B18">
        <f>IF(OR(Monthly_Prices_RAW!C20="",Monthly_Prices_RAW!C19=""),"",LN(Monthly_Prices_RAW!C20/Monthly_Prices_RAW!C19))</f>
        <v>-0.13925226515795924</v>
      </c>
      <c r="C18" t="str">
        <f>IF(OR(Monthly_Prices_RAW!D20="",Monthly_Prices_RAW!D19=""),"",LN(Monthly_Prices_RAW!D20/Monthly_Prices_RAW!D19))</f>
        <v/>
      </c>
      <c r="D18">
        <f>IF(OR(Monthly_Prices_RAW!E20="",Monthly_Prices_RAW!E19=""),"",LN(Monthly_Prices_RAW!E20/Monthly_Prices_RAW!E19))</f>
        <v>-6.7526946018489825E-2</v>
      </c>
      <c r="E18">
        <f>IF(OR(Monthly_Prices_RAW!F20="",Monthly_Prices_RAW!F19=""),"",LN(Monthly_Prices_RAW!F20/Monthly_Prices_RAW!F19))</f>
        <v>-6.0886660718800167E-2</v>
      </c>
      <c r="F18">
        <f>IF(OR(Monthly_Prices_RAW!G20="",Monthly_Prices_RAW!G19=""),"",LN(Monthly_Prices_RAW!G20/Monthly_Prices_RAW!G19))</f>
        <v>-2.636097342059366E-2</v>
      </c>
      <c r="G18">
        <f>IF(OR(Monthly_Prices_RAW!H20="",Monthly_Prices_RAW!H19=""),"",LN(Monthly_Prices_RAW!H20/Monthly_Prices_RAW!H19))</f>
        <v>-5.8467491619120418E-2</v>
      </c>
      <c r="H18">
        <f>IF(OR(Monthly_Prices_RAW!I20="",Monthly_Prices_RAW!I19=""),"",Monthly_Prices_RAW!I20-Monthly_Prices_RAW!I19)</f>
        <v>-0.29999999999999716</v>
      </c>
    </row>
    <row r="19" spans="1:8" x14ac:dyDescent="0.25">
      <c r="A19" s="1">
        <f>Monthly_Prices_RAW!B20</f>
        <v>40786</v>
      </c>
      <c r="B19">
        <f>IF(OR(Monthly_Prices_RAW!C21="",Monthly_Prices_RAW!C20=""),"",LN(Monthly_Prices_RAW!C21/Monthly_Prices_RAW!C20))</f>
        <v>-0.32748618233452531</v>
      </c>
      <c r="C19" t="str">
        <f>IF(OR(Monthly_Prices_RAW!D21="",Monthly_Prices_RAW!D20=""),"",LN(Monthly_Prices_RAW!D21/Monthly_Prices_RAW!D20))</f>
        <v/>
      </c>
      <c r="D19">
        <f>IF(OR(Monthly_Prices_RAW!E21="",Monthly_Prices_RAW!E20=""),"",LN(Monthly_Prices_RAW!E21/Monthly_Prices_RAW!E20))</f>
        <v>-0.28394731504137355</v>
      </c>
      <c r="E19">
        <f>IF(OR(Monthly_Prices_RAW!F21="",Monthly_Prices_RAW!F20=""),"",LN(Monthly_Prices_RAW!F21/Monthly_Prices_RAW!F20))</f>
        <v>-0.13509484295602317</v>
      </c>
      <c r="F19">
        <f>IF(OR(Monthly_Prices_RAW!G21="",Monthly_Prices_RAW!G20=""),"",LN(Monthly_Prices_RAW!G21/Monthly_Prices_RAW!G20))</f>
        <v>-0.10269706704391812</v>
      </c>
      <c r="G19">
        <f>IF(OR(Monthly_Prices_RAW!H21="",Monthly_Prices_RAW!H20=""),"",LN(Monthly_Prices_RAW!H21/Monthly_Prices_RAW!H20))</f>
        <v>-7.4467127542783104E-2</v>
      </c>
      <c r="H19">
        <f>IF(OR(Monthly_Prices_RAW!I21="",Monthly_Prices_RAW!I20=""),"",Monthly_Prices_RAW!I21-Monthly_Prices_RAW!I20)</f>
        <v>1.1000000000000014</v>
      </c>
    </row>
    <row r="20" spans="1:8" x14ac:dyDescent="0.25">
      <c r="A20" s="1">
        <f>Monthly_Prices_RAW!B21</f>
        <v>40816</v>
      </c>
      <c r="B20">
        <f>IF(OR(Monthly_Prices_RAW!C22="",Monthly_Prices_RAW!C21=""),"",LN(Monthly_Prices_RAW!C22/Monthly_Prices_RAW!C21))</f>
        <v>0.20408798557019739</v>
      </c>
      <c r="C20" t="str">
        <f>IF(OR(Monthly_Prices_RAW!D22="",Monthly_Prices_RAW!D21=""),"",LN(Monthly_Prices_RAW!D22/Monthly_Prices_RAW!D21))</f>
        <v/>
      </c>
      <c r="D20">
        <f>IF(OR(Monthly_Prices_RAW!E22="",Monthly_Prices_RAW!E21=""),"",LN(Monthly_Prices_RAW!E22/Monthly_Prices_RAW!E21))</f>
        <v>0.14174628874341419</v>
      </c>
      <c r="E20">
        <f>IF(OR(Monthly_Prices_RAW!F22="",Monthly_Prices_RAW!F21=""),"",LN(Monthly_Prices_RAW!F22/Monthly_Prices_RAW!F21))</f>
        <v>2.7887521521155933E-2</v>
      </c>
      <c r="F20">
        <f>IF(OR(Monthly_Prices_RAW!G22="",Monthly_Prices_RAW!G21=""),"",LN(Monthly_Prices_RAW!G22/Monthly_Prices_RAW!G21))</f>
        <v>8.6027660013669224E-2</v>
      </c>
      <c r="G20">
        <f>IF(OR(Monthly_Prices_RAW!H22="",Monthly_Prices_RAW!H21=""),"",LN(Monthly_Prices_RAW!H22/Monthly_Prices_RAW!H21))</f>
        <v>0.10230659165059017</v>
      </c>
      <c r="H20">
        <f>IF(OR(Monthly_Prices_RAW!I22="",Monthly_Prices_RAW!I21=""),"",Monthly_Prices_RAW!I22-Monthly_Prices_RAW!I21)</f>
        <v>-2.3000000000000043</v>
      </c>
    </row>
    <row r="21" spans="1:8" x14ac:dyDescent="0.25">
      <c r="A21" s="1">
        <f>Monthly_Prices_RAW!B22</f>
        <v>40847</v>
      </c>
      <c r="B21">
        <f>IF(OR(Monthly_Prices_RAW!C23="",Monthly_Prices_RAW!C22=""),"",LN(Monthly_Prices_RAW!C23/Monthly_Prices_RAW!C22))</f>
        <v>-1.8483632426591925E-2</v>
      </c>
      <c r="C21" t="str">
        <f>IF(OR(Monthly_Prices_RAW!D23="",Monthly_Prices_RAW!D22=""),"",LN(Monthly_Prices_RAW!D23/Monthly_Prices_RAW!D22))</f>
        <v/>
      </c>
      <c r="D21">
        <f>IF(OR(Monthly_Prices_RAW!E23="",Monthly_Prices_RAW!E22=""),"",LN(Monthly_Prices_RAW!E23/Monthly_Prices_RAW!E22))</f>
        <v>-1.9180574115347831E-2</v>
      </c>
      <c r="E21">
        <f>IF(OR(Monthly_Prices_RAW!F23="",Monthly_Prices_RAW!F22=""),"",LN(Monthly_Prices_RAW!F23/Monthly_Prices_RAW!F22))</f>
        <v>-4.9917941440200217E-2</v>
      </c>
      <c r="F21">
        <f>IF(OR(Monthly_Prices_RAW!G23="",Monthly_Prices_RAW!G22=""),"",LN(Monthly_Prices_RAW!G23/Monthly_Prices_RAW!G22))</f>
        <v>-2.3736279898830478E-2</v>
      </c>
      <c r="G21">
        <f>IF(OR(Monthly_Prices_RAW!H23="",Monthly_Prices_RAW!H22=""),"",LN(Monthly_Prices_RAW!H23/Monthly_Prices_RAW!H22))</f>
        <v>-5.0714834366809821E-3</v>
      </c>
      <c r="H21">
        <f>IF(OR(Monthly_Prices_RAW!I23="",Monthly_Prices_RAW!I22=""),"",Monthly_Prices_RAW!I23-Monthly_Prices_RAW!I22)</f>
        <v>0.39999999999999858</v>
      </c>
    </row>
    <row r="22" spans="1:8" x14ac:dyDescent="0.25">
      <c r="A22" s="1">
        <f>Monthly_Prices_RAW!B23</f>
        <v>40877</v>
      </c>
      <c r="B22">
        <f>IF(OR(Monthly_Prices_RAW!C24="",Monthly_Prices_RAW!C23=""),"",LN(Monthly_Prices_RAW!C24/Monthly_Prices_RAW!C23))</f>
        <v>-8.1424839008835223E-2</v>
      </c>
      <c r="C22" t="str">
        <f>IF(OR(Monthly_Prices_RAW!D24="",Monthly_Prices_RAW!D23=""),"",LN(Monthly_Prices_RAW!D24/Monthly_Prices_RAW!D23))</f>
        <v/>
      </c>
      <c r="D22">
        <f>IF(OR(Monthly_Prices_RAW!E24="",Monthly_Prices_RAW!E23=""),"",LN(Monthly_Prices_RAW!E24/Monthly_Prices_RAW!E23))</f>
        <v>-3.6294882501690003E-2</v>
      </c>
      <c r="E22">
        <f>IF(OR(Monthly_Prices_RAW!F24="",Monthly_Prices_RAW!F23=""),"",LN(Monthly_Prices_RAW!F24/Monthly_Prices_RAW!F23))</f>
        <v>-4.3590436074861731E-2</v>
      </c>
      <c r="F22">
        <f>IF(OR(Monthly_Prices_RAW!G24="",Monthly_Prices_RAW!G23=""),"",LN(Monthly_Prices_RAW!G24/Monthly_Prices_RAW!G23))</f>
        <v>-7.2223620601752254E-3</v>
      </c>
      <c r="G22">
        <f>IF(OR(Monthly_Prices_RAW!H24="",Monthly_Prices_RAW!H23=""),"",LN(Monthly_Prices_RAW!H24/Monthly_Prices_RAW!H23))</f>
        <v>8.5045051164762252E-3</v>
      </c>
      <c r="H22">
        <f>IF(OR(Monthly_Prices_RAW!I24="",Monthly_Prices_RAW!I23=""),"",Monthly_Prices_RAW!I24-Monthly_Prices_RAW!I23)</f>
        <v>1.2000000000000028</v>
      </c>
    </row>
    <row r="23" spans="1:8" x14ac:dyDescent="0.25">
      <c r="A23" s="1">
        <f>Monthly_Prices_RAW!B24</f>
        <v>40908</v>
      </c>
      <c r="B23">
        <f>IF(OR(Monthly_Prices_RAW!C25="",Monthly_Prices_RAW!C24=""),"",LN(Monthly_Prices_RAW!C25/Monthly_Prices_RAW!C24))</f>
        <v>0.21179476642537909</v>
      </c>
      <c r="C23">
        <f>IF(OR(Monthly_Prices_RAW!D25="",Monthly_Prices_RAW!D24=""),"",LN(Monthly_Prices_RAW!D25/Monthly_Prices_RAW!D24))</f>
        <v>2.571570276445773E-2</v>
      </c>
      <c r="D23">
        <f>IF(OR(Monthly_Prices_RAW!E25="",Monthly_Prices_RAW!E24=""),"",LN(Monthly_Prices_RAW!E25/Monthly_Prices_RAW!E24))</f>
        <v>9.8058014972326052E-2</v>
      </c>
      <c r="E23">
        <f>IF(OR(Monthly_Prices_RAW!F25="",Monthly_Prices_RAW!F24=""),"",LN(Monthly_Prices_RAW!F25/Monthly_Prices_RAW!F24))</f>
        <v>0.10248509847662018</v>
      </c>
      <c r="F23">
        <f>IF(OR(Monthly_Prices_RAW!G25="",Monthly_Prices_RAW!G24=""),"",LN(Monthly_Prices_RAW!G25/Monthly_Prices_RAW!G24))</f>
        <v>3.9563489152524361E-2</v>
      </c>
      <c r="G23">
        <f>IF(OR(Monthly_Prices_RAW!H25="",Monthly_Prices_RAW!H24=""),"",LN(Monthly_Prices_RAW!H25/Monthly_Prices_RAW!H24))</f>
        <v>4.2652047388807852E-2</v>
      </c>
      <c r="H23">
        <f>IF(OR(Monthly_Prices_RAW!I25="",Monthly_Prices_RAW!I24=""),"",Monthly_Prices_RAW!I25-Monthly_Prices_RAW!I24)</f>
        <v>1.2000000000000028</v>
      </c>
    </row>
    <row r="24" spans="1:8" x14ac:dyDescent="0.25">
      <c r="A24" s="1">
        <f>Monthly_Prices_RAW!B25</f>
        <v>40939</v>
      </c>
      <c r="B24">
        <f>IF(OR(Monthly_Prices_RAW!C26="",Monthly_Prices_RAW!C25=""),"",LN(Monthly_Prices_RAW!C26/Monthly_Prices_RAW!C25))</f>
        <v>-4.4203537029185017E-2</v>
      </c>
      <c r="C24">
        <f>IF(OR(Monthly_Prices_RAW!D26="",Monthly_Prices_RAW!D25=""),"",LN(Monthly_Prices_RAW!D26/Monthly_Prices_RAW!D25))</f>
        <v>-2.8248606355547388E-3</v>
      </c>
      <c r="D24">
        <f>IF(OR(Monthly_Prices_RAW!E26="",Monthly_Prices_RAW!E25=""),"",LN(Monthly_Prices_RAW!E26/Monthly_Prices_RAW!E25))</f>
        <v>2.1017678568296037E-2</v>
      </c>
      <c r="E24">
        <f>IF(OR(Monthly_Prices_RAW!F26="",Monthly_Prices_RAW!F25=""),"",LN(Monthly_Prices_RAW!F26/Monthly_Prices_RAW!F25))</f>
        <v>3.9426919979457922E-2</v>
      </c>
      <c r="F24">
        <f>IF(OR(Monthly_Prices_RAW!G26="",Monthly_Prices_RAW!G25=""),"",LN(Monthly_Prices_RAW!G26/Monthly_Prices_RAW!G25))</f>
        <v>1.0396759223974957E-2</v>
      </c>
      <c r="G24">
        <f>IF(OR(Monthly_Prices_RAW!H26="",Monthly_Prices_RAW!H25=""),"",LN(Monthly_Prices_RAW!H26/Monthly_Prices_RAW!H25))</f>
        <v>3.9787331386417914E-2</v>
      </c>
      <c r="H24">
        <f>IF(OR(Monthly_Prices_RAW!I26="",Monthly_Prices_RAW!I25=""),"",Monthly_Prices_RAW!I26-Monthly_Prices_RAW!I25)</f>
        <v>-0.90000000000000568</v>
      </c>
    </row>
    <row r="25" spans="1:8" x14ac:dyDescent="0.25">
      <c r="A25" s="1">
        <f>Monthly_Prices_RAW!B26</f>
        <v>40968</v>
      </c>
      <c r="B25">
        <f>IF(OR(Monthly_Prices_RAW!C27="",Monthly_Prices_RAW!C26=""),"",LN(Monthly_Prices_RAW!C27/Monthly_Prices_RAW!C26))</f>
        <v>-2.3820317635143896E-2</v>
      </c>
      <c r="C25">
        <f>IF(OR(Monthly_Prices_RAW!D27="",Monthly_Prices_RAW!D26=""),"",LN(Monthly_Prices_RAW!D27/Monthly_Prices_RAW!D26))</f>
        <v>2.5830406427669744E-2</v>
      </c>
      <c r="D25">
        <f>IF(OR(Monthly_Prices_RAW!E27="",Monthly_Prices_RAW!E26=""),"",LN(Monthly_Prices_RAW!E27/Monthly_Prices_RAW!E26))</f>
        <v>-1.1825230384131871E-2</v>
      </c>
      <c r="E25">
        <f>IF(OR(Monthly_Prices_RAW!F27="",Monthly_Prices_RAW!F26=""),"",LN(Monthly_Prices_RAW!F27/Monthly_Prices_RAW!F26))</f>
        <v>-9.0767249949435233E-2</v>
      </c>
      <c r="F25">
        <f>IF(OR(Monthly_Prices_RAW!G27="",Monthly_Prices_RAW!G26=""),"",LN(Monthly_Prices_RAW!G27/Monthly_Prices_RAW!G26))</f>
        <v>-3.6629960982054295E-2</v>
      </c>
      <c r="G25">
        <f>IF(OR(Monthly_Prices_RAW!H27="",Monthly_Prices_RAW!H26=""),"",LN(Monthly_Prices_RAW!H27/Monthly_Prices_RAW!H26))</f>
        <v>3.0851535762571346E-2</v>
      </c>
      <c r="H25">
        <f>IF(OR(Monthly_Prices_RAW!I27="",Monthly_Prices_RAW!I26=""),"",Monthly_Prices_RAW!I27-Monthly_Prices_RAW!I26)</f>
        <v>0.20000000000000284</v>
      </c>
    </row>
    <row r="26" spans="1:8" x14ac:dyDescent="0.25">
      <c r="A26" s="1">
        <f>Monthly_Prices_RAW!B27</f>
        <v>40999</v>
      </c>
      <c r="B26">
        <f>IF(OR(Monthly_Prices_RAW!C28="",Monthly_Prices_RAW!C27=""),"",LN(Monthly_Prices_RAW!C28/Monthly_Prices_RAW!C27))</f>
        <v>8.5985288577701321E-3</v>
      </c>
      <c r="C26">
        <f>IF(OR(Monthly_Prices_RAW!D28="",Monthly_Prices_RAW!D27=""),"",LN(Monthly_Prices_RAW!D28/Monthly_Prices_RAW!D27))</f>
        <v>0</v>
      </c>
      <c r="D26">
        <f>IF(OR(Monthly_Prices_RAW!E28="",Monthly_Prices_RAW!E27=""),"",LN(Monthly_Prices_RAW!E28/Monthly_Prices_RAW!E27))</f>
        <v>2.2197567383130316E-3</v>
      </c>
      <c r="E26">
        <f>IF(OR(Monthly_Prices_RAW!F28="",Monthly_Prices_RAW!F27=""),"",LN(Monthly_Prices_RAW!F28/Monthly_Prices_RAW!F27))</f>
        <v>-3.2980006335941265E-3</v>
      </c>
      <c r="F26">
        <f>IF(OR(Monthly_Prices_RAW!G28="",Monthly_Prices_RAW!G27=""),"",LN(Monthly_Prices_RAW!G28/Monthly_Prices_RAW!G27))</f>
        <v>7.9904155577524439E-3</v>
      </c>
      <c r="G26">
        <f>IF(OR(Monthly_Prices_RAW!H28="",Monthly_Prices_RAW!H27=""),"",LN(Monthly_Prices_RAW!H28/Monthly_Prices_RAW!H27))</f>
        <v>-7.5257447960486246E-3</v>
      </c>
      <c r="H26">
        <f>IF(OR(Monthly_Prices_RAW!I28="",Monthly_Prices_RAW!I27=""),"",Monthly_Prices_RAW!I28-Monthly_Prices_RAW!I27)</f>
        <v>1.7000000000000028</v>
      </c>
    </row>
    <row r="27" spans="1:8" x14ac:dyDescent="0.25">
      <c r="A27" s="1">
        <f>Monthly_Prices_RAW!B28</f>
        <v>41029</v>
      </c>
      <c r="B27">
        <f>IF(OR(Monthly_Prices_RAW!C29="",Monthly_Prices_RAW!C28=""),"",LN(Monthly_Prices_RAW!C29/Monthly_Prices_RAW!C28))</f>
        <v>-0.26029824163911408</v>
      </c>
      <c r="C27">
        <f>IF(OR(Monthly_Prices_RAW!D29="",Monthly_Prices_RAW!D28=""),"",LN(Monthly_Prices_RAW!D29/Monthly_Prices_RAW!D28))</f>
        <v>-9.6137537821735147E-2</v>
      </c>
      <c r="D27">
        <f>IF(OR(Monthly_Prices_RAW!E29="",Monthly_Prices_RAW!E28=""),"",LN(Monthly_Prices_RAW!E29/Monthly_Prices_RAW!E28))</f>
        <v>-0.13020168354818132</v>
      </c>
      <c r="E27">
        <f>IF(OR(Monthly_Prices_RAW!F29="",Monthly_Prices_RAW!F28=""),"",LN(Monthly_Prices_RAW!F29/Monthly_Prices_RAW!F28))</f>
        <v>-6.0801607746515378E-2</v>
      </c>
      <c r="F27">
        <f>IF(OR(Monthly_Prices_RAW!G29="",Monthly_Prices_RAW!G28=""),"",LN(Monthly_Prices_RAW!G29/Monthly_Prices_RAW!G28))</f>
        <v>-6.89654757278131E-2</v>
      </c>
      <c r="G27">
        <f>IF(OR(Monthly_Prices_RAW!H29="",Monthly_Prices_RAW!H28=""),"",LN(Monthly_Prices_RAW!H29/Monthly_Prices_RAW!H28))</f>
        <v>-6.4699250170469236E-2</v>
      </c>
      <c r="H27">
        <f>IF(OR(Monthly_Prices_RAW!I29="",Monthly_Prices_RAW!I28=""),"",Monthly_Prices_RAW!I29-Monthly_Prices_RAW!I28)</f>
        <v>-2</v>
      </c>
    </row>
    <row r="28" spans="1:8" x14ac:dyDescent="0.25">
      <c r="A28" s="1">
        <f>Monthly_Prices_RAW!B29</f>
        <v>41060</v>
      </c>
      <c r="B28">
        <f>IF(OR(Monthly_Prices_RAW!C30="",Monthly_Prices_RAW!C29=""),"",LN(Monthly_Prices_RAW!C30/Monthly_Prices_RAW!C29))</f>
        <v>0.10093155638462972</v>
      </c>
      <c r="C28">
        <f>IF(OR(Monthly_Prices_RAW!D30="",Monthly_Prices_RAW!D29=""),"",LN(Monthly_Prices_RAW!D30/Monthly_Prices_RAW!D29))</f>
        <v>2.4729622897746193E-2</v>
      </c>
      <c r="D28">
        <f>IF(OR(Monthly_Prices_RAW!E30="",Monthly_Prices_RAW!E29=""),"",LN(Monthly_Prices_RAW!E30/Monthly_Prices_RAW!E29))</f>
        <v>3.6325195745705106E-2</v>
      </c>
      <c r="E28">
        <f>IF(OR(Monthly_Prices_RAW!F30="",Monthly_Prices_RAW!F29=""),"",LN(Monthly_Prices_RAW!F30/Monthly_Prices_RAW!F29))</f>
        <v>-4.2516006281510643E-2</v>
      </c>
      <c r="F28">
        <f>IF(OR(Monthly_Prices_RAW!G30="",Monthly_Prices_RAW!G29=""),"",LN(Monthly_Prices_RAW!G30/Monthly_Prices_RAW!G29))</f>
        <v>5.0481376624128896E-2</v>
      </c>
      <c r="G28">
        <f>IF(OR(Monthly_Prices_RAW!H30="",Monthly_Prices_RAW!H29=""),"",LN(Monthly_Prices_RAW!H30/Monthly_Prices_RAW!H29))</f>
        <v>3.8792661243837456E-2</v>
      </c>
      <c r="H28">
        <f>IF(OR(Monthly_Prices_RAW!I30="",Monthly_Prices_RAW!I29=""),"",Monthly_Prices_RAW!I30-Monthly_Prices_RAW!I29)</f>
        <v>-3.7000000000000028</v>
      </c>
    </row>
    <row r="29" spans="1:8" x14ac:dyDescent="0.25">
      <c r="A29" s="1">
        <f>Monthly_Prices_RAW!B30</f>
        <v>41090</v>
      </c>
      <c r="B29">
        <f>IF(OR(Monthly_Prices_RAW!C31="",Monthly_Prices_RAW!C30=""),"",LN(Monthly_Prices_RAW!C31/Monthly_Prices_RAW!C30))</f>
        <v>-3.4038964092321773E-2</v>
      </c>
      <c r="C29">
        <f>IF(OR(Monthly_Prices_RAW!D31="",Monthly_Prices_RAW!D30=""),"",LN(Monthly_Prices_RAW!D31/Monthly_Prices_RAW!D30))</f>
        <v>-0.1252124903349037</v>
      </c>
      <c r="D29">
        <f>IF(OR(Monthly_Prices_RAW!E31="",Monthly_Prices_RAW!E30=""),"",LN(Monthly_Prices_RAW!E31/Monthly_Prices_RAW!E30))</f>
        <v>-2.0992446598368235E-2</v>
      </c>
      <c r="E29">
        <f>IF(OR(Monthly_Prices_RAW!F31="",Monthly_Prices_RAW!F30=""),"",LN(Monthly_Prices_RAW!F31/Monthly_Prices_RAW!F30))</f>
        <v>-1.1579076738763525E-2</v>
      </c>
      <c r="F29">
        <f>IF(OR(Monthly_Prices_RAW!G31="",Monthly_Prices_RAW!G30=""),"",LN(Monthly_Prices_RAW!G31/Monthly_Prices_RAW!G30))</f>
        <v>2.5554642605246685E-2</v>
      </c>
      <c r="G29">
        <f>IF(OR(Monthly_Prices_RAW!H31="",Monthly_Prices_RAW!H30=""),"",LN(Monthly_Prices_RAW!H31/Monthly_Prices_RAW!H30))</f>
        <v>1.2518948972710817E-2</v>
      </c>
      <c r="H29">
        <f>IF(OR(Monthly_Prices_RAW!I31="",Monthly_Prices_RAW!I30=""),"",Monthly_Prices_RAW!I31-Monthly_Prices_RAW!I30)</f>
        <v>0.10000000000000142</v>
      </c>
    </row>
    <row r="30" spans="1:8" x14ac:dyDescent="0.25">
      <c r="A30" s="1">
        <f>Monthly_Prices_RAW!B31</f>
        <v>41121</v>
      </c>
      <c r="B30">
        <f>IF(OR(Monthly_Prices_RAW!C32="",Monthly_Prices_RAW!C31=""),"",LN(Monthly_Prices_RAW!C32/Monthly_Prices_RAW!C31))</f>
        <v>-3.7489081153197837E-2</v>
      </c>
      <c r="C30">
        <f>IF(OR(Monthly_Prices_RAW!D32="",Monthly_Prices_RAW!D31=""),"",LN(Monthly_Prices_RAW!D32/Monthly_Prices_RAW!D31))</f>
        <v>-0.28321777932309555</v>
      </c>
      <c r="D30">
        <f>IF(OR(Monthly_Prices_RAW!E32="",Monthly_Prices_RAW!E31=""),"",LN(Monthly_Prices_RAW!E32/Monthly_Prices_RAW!E31))</f>
        <v>1.0623690108519154E-2</v>
      </c>
      <c r="E30">
        <f>IF(OR(Monthly_Prices_RAW!F32="",Monthly_Prices_RAW!F31=""),"",LN(Monthly_Prices_RAW!F32/Monthly_Prices_RAW!F31))</f>
        <v>6.8583756038260359E-3</v>
      </c>
      <c r="F30">
        <f>IF(OR(Monthly_Prices_RAW!G32="",Monthly_Prices_RAW!G31=""),"",LN(Monthly_Prices_RAW!G32/Monthly_Prices_RAW!G31))</f>
        <v>-1.7383390914102924E-2</v>
      </c>
      <c r="G30">
        <f>IF(OR(Monthly_Prices_RAW!H32="",Monthly_Prices_RAW!H31=""),"",LN(Monthly_Prices_RAW!H32/Monthly_Prices_RAW!H31))</f>
        <v>1.9570602004381984E-2</v>
      </c>
      <c r="H30">
        <f>IF(OR(Monthly_Prices_RAW!I32="",Monthly_Prices_RAW!I31=""),"",Monthly_Prices_RAW!I32-Monthly_Prices_RAW!I31)</f>
        <v>-0.60000000000000142</v>
      </c>
    </row>
    <row r="31" spans="1:8" x14ac:dyDescent="0.25">
      <c r="A31" s="1">
        <f>Monthly_Prices_RAW!B32</f>
        <v>41152</v>
      </c>
      <c r="B31">
        <f>IF(OR(Monthly_Prices_RAW!C33="",Monthly_Prices_RAW!C32=""),"",LN(Monthly_Prices_RAW!C33/Monthly_Prices_RAW!C32))</f>
        <v>6.4711465743145888E-2</v>
      </c>
      <c r="C31">
        <f>IF(OR(Monthly_Prices_RAW!D33="",Monthly_Prices_RAW!D32=""),"",LN(Monthly_Prices_RAW!D33/Monthly_Prices_RAW!D32))</f>
        <v>0.16585411880391332</v>
      </c>
      <c r="D31">
        <f>IF(OR(Monthly_Prices_RAW!E33="",Monthly_Prices_RAW!E32=""),"",LN(Monthly_Prices_RAW!E33/Monthly_Prices_RAW!E32))</f>
        <v>8.435392126678673E-2</v>
      </c>
      <c r="E31">
        <f>IF(OR(Monthly_Prices_RAW!F33="",Monthly_Prices_RAW!F32=""),"",LN(Monthly_Prices_RAW!F33/Monthly_Prices_RAW!F32))</f>
        <v>0.10472940172081646</v>
      </c>
      <c r="F31">
        <f>IF(OR(Monthly_Prices_RAW!G33="",Monthly_Prices_RAW!G32=""),"",LN(Monthly_Prices_RAW!G33/Monthly_Prices_RAW!G32))</f>
        <v>5.4106412190125857E-3</v>
      </c>
      <c r="G31">
        <f>IF(OR(Monthly_Prices_RAW!H33="",Monthly_Prices_RAW!H32=""),"",LN(Monthly_Prices_RAW!H33/Monthly_Prices_RAW!H32))</f>
        <v>2.394705705020073E-2</v>
      </c>
      <c r="H31">
        <f>IF(OR(Monthly_Prices_RAW!I33="",Monthly_Prices_RAW!I32=""),"",Monthly_Prices_RAW!I33-Monthly_Prices_RAW!I32)</f>
        <v>1.7999999999999972</v>
      </c>
    </row>
    <row r="32" spans="1:8" x14ac:dyDescent="0.25">
      <c r="A32" s="1">
        <f>Monthly_Prices_RAW!B33</f>
        <v>41182</v>
      </c>
      <c r="B32">
        <f>IF(OR(Monthly_Prices_RAW!C34="",Monthly_Prices_RAW!C33=""),"",LN(Monthly_Prices_RAW!C34/Monthly_Prices_RAW!C33))</f>
        <v>6.6593184190224156E-2</v>
      </c>
      <c r="C32">
        <f>IF(OR(Monthly_Prices_RAW!D34="",Monthly_Prices_RAW!D33=""),"",LN(Monthly_Prices_RAW!D34/Monthly_Prices_RAW!D33))</f>
        <v>0.11820223499180331</v>
      </c>
      <c r="D32">
        <f>IF(OR(Monthly_Prices_RAW!E34="",Monthly_Prices_RAW!E33=""),"",LN(Monthly_Prices_RAW!E34/Monthly_Prices_RAW!E33))</f>
        <v>-6.6136390984866553E-2</v>
      </c>
      <c r="E32">
        <f>IF(OR(Monthly_Prices_RAW!F34="",Monthly_Prices_RAW!F33=""),"",LN(Monthly_Prices_RAW!F34/Monthly_Prices_RAW!F33))</f>
        <v>-0.10262856061200466</v>
      </c>
      <c r="F32">
        <f>IF(OR(Monthly_Prices_RAW!G34="",Monthly_Prices_RAW!G33=""),"",LN(Monthly_Prices_RAW!G34/Monthly_Prices_RAW!G33))</f>
        <v>-1.9273393140510688E-4</v>
      </c>
      <c r="G32">
        <f>IF(OR(Monthly_Prices_RAW!H34="",Monthly_Prices_RAW!H33=""),"",LN(Monthly_Prices_RAW!H34/Monthly_Prices_RAW!H33))</f>
        <v>-1.9987836058499683E-2</v>
      </c>
      <c r="H32">
        <f>IF(OR(Monthly_Prices_RAW!I34="",Monthly_Prices_RAW!I33=""),"",Monthly_Prices_RAW!I34-Monthly_Prices_RAW!I33)</f>
        <v>-0.29999999999999716</v>
      </c>
    </row>
    <row r="33" spans="1:8" x14ac:dyDescent="0.25">
      <c r="A33" s="1">
        <f>Monthly_Prices_RAW!B34</f>
        <v>41213</v>
      </c>
      <c r="B33">
        <f>IF(OR(Monthly_Prices_RAW!C35="",Monthly_Prices_RAW!C34=""),"",LN(Monthly_Prices_RAW!C35/Monthly_Prices_RAW!C34))</f>
        <v>-3.6071160472895703E-3</v>
      </c>
      <c r="C33">
        <f>IF(OR(Monthly_Prices_RAW!D35="",Monthly_Prices_RAW!D34=""),"",LN(Monthly_Prices_RAW!D35/Monthly_Prices_RAW!D34))</f>
        <v>-2.203478981136003E-2</v>
      </c>
      <c r="D33">
        <f>IF(OR(Monthly_Prices_RAW!E35="",Monthly_Prices_RAW!E34=""),"",LN(Monthly_Prices_RAW!E35/Monthly_Prices_RAW!E34))</f>
        <v>3.1344387736351238E-2</v>
      </c>
      <c r="E33">
        <f>IF(OR(Monthly_Prices_RAW!F35="",Monthly_Prices_RAW!F34=""),"",LN(Monthly_Prices_RAW!F35/Monthly_Prices_RAW!F34))</f>
        <v>9.4069307216334705E-2</v>
      </c>
      <c r="F33">
        <f>IF(OR(Monthly_Prices_RAW!G35="",Monthly_Prices_RAW!G34=""),"",LN(Monthly_Prices_RAW!G35/Monthly_Prices_RAW!G34))</f>
        <v>4.9990490571124261E-3</v>
      </c>
      <c r="G33">
        <f>IF(OR(Monthly_Prices_RAW!H35="",Monthly_Prices_RAW!H34=""),"",LN(Monthly_Prices_RAW!H35/Monthly_Prices_RAW!H34))</f>
        <v>2.8426587376603443E-3</v>
      </c>
      <c r="H33">
        <f>IF(OR(Monthly_Prices_RAW!I35="",Monthly_Prices_RAW!I34=""),"",Monthly_Prices_RAW!I35-Monthly_Prices_RAW!I34)</f>
        <v>-2.5</v>
      </c>
    </row>
    <row r="34" spans="1:8" x14ac:dyDescent="0.25">
      <c r="A34" s="1">
        <f>Monthly_Prices_RAW!B35</f>
        <v>41243</v>
      </c>
      <c r="B34">
        <f>IF(OR(Monthly_Prices_RAW!C36="",Monthly_Prices_RAW!C35=""),"",LN(Monthly_Prices_RAW!C36/Monthly_Prices_RAW!C35))</f>
        <v>0.15397831681517635</v>
      </c>
      <c r="C34">
        <f>IF(OR(Monthly_Prices_RAW!D36="",Monthly_Prices_RAW!D35=""),"",LN(Monthly_Prices_RAW!D36/Monthly_Prices_RAW!D35))</f>
        <v>0.18844387961212433</v>
      </c>
      <c r="D34">
        <f>IF(OR(Monthly_Prices_RAW!E36="",Monthly_Prices_RAW!E35=""),"",LN(Monthly_Prices_RAW!E36/Monthly_Prices_RAW!E35))</f>
        <v>6.316966899959359E-3</v>
      </c>
      <c r="E34">
        <f>IF(OR(Monthly_Prices_RAW!F36="",Monthly_Prices_RAW!F35=""),"",LN(Monthly_Prices_RAW!F36/Monthly_Prices_RAW!F35))</f>
        <v>-1.0079278994702555E-2</v>
      </c>
      <c r="F34">
        <f>IF(OR(Monthly_Prices_RAW!G36="",Monthly_Prices_RAW!G35=""),"",LN(Monthly_Prices_RAW!G36/Monthly_Prices_RAW!G35))</f>
        <v>-3.2657794850049905E-3</v>
      </c>
      <c r="G34">
        <f>IF(OR(Monthly_Prices_RAW!H36="",Monthly_Prices_RAW!H35=""),"",LN(Monthly_Prices_RAW!H36/Monthly_Prices_RAW!H35))</f>
        <v>7.0434471114575181E-3</v>
      </c>
      <c r="H34">
        <f>IF(OR(Monthly_Prices_RAW!I36="",Monthly_Prices_RAW!I35=""),"",Monthly_Prices_RAW!I36-Monthly_Prices_RAW!I35)</f>
        <v>2.1000000000000014</v>
      </c>
    </row>
    <row r="35" spans="1:8" x14ac:dyDescent="0.25">
      <c r="A35" s="1">
        <f>Monthly_Prices_RAW!B36</f>
        <v>41274</v>
      </c>
      <c r="B35">
        <f>IF(OR(Monthly_Prices_RAW!C37="",Monthly_Prices_RAW!C36=""),"",LN(Monthly_Prices_RAW!C37/Monthly_Prices_RAW!C36))</f>
        <v>-2.8284121604531864E-2</v>
      </c>
      <c r="C35">
        <f>IF(OR(Monthly_Prices_RAW!D37="",Monthly_Prices_RAW!D36=""),"",LN(Monthly_Prices_RAW!D37/Monthly_Prices_RAW!D36))</f>
        <v>6.6576896461158608E-2</v>
      </c>
      <c r="D35">
        <f>IF(OR(Monthly_Prices_RAW!E37="",Monthly_Prices_RAW!E36=""),"",LN(Monthly_Prices_RAW!E37/Monthly_Prices_RAW!E36))</f>
        <v>2.1532418342379896E-2</v>
      </c>
      <c r="E35">
        <f>IF(OR(Monthly_Prices_RAW!F37="",Monthly_Prices_RAW!F36=""),"",LN(Monthly_Prices_RAW!F37/Monthly_Prices_RAW!F36))</f>
        <v>8.6455869928540319E-3</v>
      </c>
      <c r="F35">
        <f>IF(OR(Monthly_Prices_RAW!G37="",Monthly_Prices_RAW!G36=""),"",LN(Monthly_Prices_RAW!G37/Monthly_Prices_RAW!G36))</f>
        <v>2.9780510986149151E-3</v>
      </c>
      <c r="G35">
        <f>IF(OR(Monthly_Prices_RAW!H37="",Monthly_Prices_RAW!H36=""),"",LN(Monthly_Prices_RAW!H37/Monthly_Prices_RAW!H36))</f>
        <v>4.9197760692578335E-2</v>
      </c>
      <c r="H35">
        <f>IF(OR(Monthly_Prices_RAW!I37="",Monthly_Prices_RAW!I36=""),"",Monthly_Prices_RAW!I37-Monthly_Prices_RAW!I36)</f>
        <v>3.1999999999999957</v>
      </c>
    </row>
    <row r="36" spans="1:8" x14ac:dyDescent="0.25">
      <c r="A36" s="1">
        <f>Monthly_Prices_RAW!B37</f>
        <v>41305</v>
      </c>
      <c r="B36">
        <f>IF(OR(Monthly_Prices_RAW!C38="",Monthly_Prices_RAW!C37=""),"",LN(Monthly_Prices_RAW!C38/Monthly_Prices_RAW!C37))</f>
        <v>-5.1414701295963601E-2</v>
      </c>
      <c r="C36">
        <f>IF(OR(Monthly_Prices_RAW!D38="",Monthly_Prices_RAW!D37=""),"",LN(Monthly_Prices_RAW!D38/Monthly_Prices_RAW!D37))</f>
        <v>-6.6423117686278325E-4</v>
      </c>
      <c r="D36">
        <f>IF(OR(Monthly_Prices_RAW!E38="",Monthly_Prices_RAW!E37=""),"",LN(Monthly_Prices_RAW!E38/Monthly_Prices_RAW!E37))</f>
        <v>-5.6354878240265333E-2</v>
      </c>
      <c r="E36">
        <f>IF(OR(Monthly_Prices_RAW!F38="",Monthly_Prices_RAW!F37=""),"",LN(Monthly_Prices_RAW!F38/Monthly_Prices_RAW!F37))</f>
        <v>-4.1998359687964025E-2</v>
      </c>
      <c r="F36">
        <f>IF(OR(Monthly_Prices_RAW!G38="",Monthly_Prices_RAW!G37=""),"",LN(Monthly_Prices_RAW!G38/Monthly_Prices_RAW!G37))</f>
        <v>-2.0349539415279727E-2</v>
      </c>
      <c r="G36">
        <f>IF(OR(Monthly_Prices_RAW!H38="",Monthly_Prices_RAW!H37=""),"",LN(Monthly_Prices_RAW!H38/Monthly_Prices_RAW!H37))</f>
        <v>1.0999881888155871E-2</v>
      </c>
      <c r="H36">
        <f>IF(OR(Monthly_Prices_RAW!I38="",Monthly_Prices_RAW!I37=""),"",Monthly_Prices_RAW!I38-Monthly_Prices_RAW!I37)</f>
        <v>0.90000000000000568</v>
      </c>
    </row>
    <row r="37" spans="1:8" x14ac:dyDescent="0.25">
      <c r="A37" s="1">
        <f>Monthly_Prices_RAW!B38</f>
        <v>41333</v>
      </c>
      <c r="B37">
        <f>IF(OR(Monthly_Prices_RAW!C39="",Monthly_Prices_RAW!C38=""),"",LN(Monthly_Prices_RAW!C39/Monthly_Prices_RAW!C38))</f>
        <v>-0.11277812071830515</v>
      </c>
      <c r="C37">
        <f>IF(OR(Monthly_Prices_RAW!D39="",Monthly_Prices_RAW!D38=""),"",LN(Monthly_Prices_RAW!D39/Monthly_Prices_RAW!D38))</f>
        <v>-0.11612328423801911</v>
      </c>
      <c r="D37">
        <f>IF(OR(Monthly_Prices_RAW!E39="",Monthly_Prices_RAW!E38=""),"",LN(Monthly_Prices_RAW!E39/Monthly_Prices_RAW!E38))</f>
        <v>-3.6225910771162065E-2</v>
      </c>
      <c r="E37">
        <f>IF(OR(Monthly_Prices_RAW!F39="",Monthly_Prices_RAW!F38=""),"",LN(Monthly_Prices_RAW!F39/Monthly_Prices_RAW!F38))</f>
        <v>-5.1687124389358886E-2</v>
      </c>
      <c r="F37">
        <f>IF(OR(Monthly_Prices_RAW!G39="",Monthly_Prices_RAW!G38=""),"",LN(Monthly_Prices_RAW!G39/Monthly_Prices_RAW!G38))</f>
        <v>1.9773834160461301E-2</v>
      </c>
      <c r="G37">
        <f>IF(OR(Monthly_Prices_RAW!H39="",Monthly_Prices_RAW!H38=""),"",LN(Monthly_Prices_RAW!H39/Monthly_Prices_RAW!H38))</f>
        <v>3.535536713008354E-2</v>
      </c>
      <c r="H37">
        <f>IF(OR(Monthly_Prices_RAW!I39="",Monthly_Prices_RAW!I38=""),"",Monthly_Prices_RAW!I39-Monthly_Prices_RAW!I38)</f>
        <v>-2.3000000000000043</v>
      </c>
    </row>
    <row r="38" spans="1:8" x14ac:dyDescent="0.25">
      <c r="A38" s="1">
        <f>Monthly_Prices_RAW!B39</f>
        <v>41364</v>
      </c>
      <c r="B38">
        <f>IF(OR(Monthly_Prices_RAW!C40="",Monthly_Prices_RAW!C39=""),"",LN(Monthly_Prices_RAW!C40/Monthly_Prices_RAW!C39))</f>
        <v>-2.1904902450112278E-2</v>
      </c>
      <c r="C38">
        <f>IF(OR(Monthly_Prices_RAW!D40="",Monthly_Prices_RAW!D39=""),"",LN(Monthly_Prices_RAW!D40/Monthly_Prices_RAW!D39))</f>
        <v>4.4676172597160517E-3</v>
      </c>
      <c r="D38">
        <f>IF(OR(Monthly_Prices_RAW!E40="",Monthly_Prices_RAW!E39=""),"",LN(Monthly_Prices_RAW!E40/Monthly_Prices_RAW!E39))</f>
        <v>-6.5126583489125492E-2</v>
      </c>
      <c r="E38">
        <f>IF(OR(Monthly_Prices_RAW!F40="",Monthly_Prices_RAW!F39=""),"",LN(Monthly_Prices_RAW!F40/Monthly_Prices_RAW!F39))</f>
        <v>-1.8018505502678365E-2</v>
      </c>
      <c r="F38">
        <f>IF(OR(Monthly_Prices_RAW!G40="",Monthly_Prices_RAW!G39=""),"",LN(Monthly_Prices_RAW!G40/Monthly_Prices_RAW!G39))</f>
        <v>-4.617612822449645E-3</v>
      </c>
      <c r="G38">
        <f>IF(OR(Monthly_Prices_RAW!H40="",Monthly_Prices_RAW!H39=""),"",LN(Monthly_Prices_RAW!H40/Monthly_Prices_RAW!H39))</f>
        <v>1.7924162116924588E-2</v>
      </c>
      <c r="H38">
        <f>IF(OR(Monthly_Prices_RAW!I40="",Monthly_Prices_RAW!I39=""),"",Monthly_Prices_RAW!I40-Monthly_Prices_RAW!I39)</f>
        <v>-0.89999999999999858</v>
      </c>
    </row>
    <row r="39" spans="1:8" x14ac:dyDescent="0.25">
      <c r="A39" s="1">
        <f>Monthly_Prices_RAW!B40</f>
        <v>41394</v>
      </c>
      <c r="B39">
        <f>IF(OR(Monthly_Prices_RAW!C41="",Monthly_Prices_RAW!C40=""),"",LN(Monthly_Prices_RAW!C41/Monthly_Prices_RAW!C40))</f>
        <v>-7.5277082807470905E-2</v>
      </c>
      <c r="C39">
        <f>IF(OR(Monthly_Prices_RAW!D41="",Monthly_Prices_RAW!D40=""),"",LN(Monthly_Prices_RAW!D41/Monthly_Prices_RAW!D40))</f>
        <v>-0.17491959849828684</v>
      </c>
      <c r="D39">
        <f>IF(OR(Monthly_Prices_RAW!E41="",Monthly_Prices_RAW!E40=""),"",LN(Monthly_Prices_RAW!E41/Monthly_Prices_RAW!E40))</f>
        <v>3.2410244150754539E-2</v>
      </c>
      <c r="E39">
        <f>IF(OR(Monthly_Prices_RAW!F41="",Monthly_Prices_RAW!F40=""),"",LN(Monthly_Prices_RAW!F41/Monthly_Prices_RAW!F40))</f>
        <v>1.9068374365515145E-2</v>
      </c>
      <c r="F39">
        <f>IF(OR(Monthly_Prices_RAW!G41="",Monthly_Prices_RAW!G40=""),"",LN(Monthly_Prices_RAW!G41/Monthly_Prices_RAW!G40))</f>
        <v>-8.027575639382771E-2</v>
      </c>
      <c r="G39">
        <f>IF(OR(Monthly_Prices_RAW!H41="",Monthly_Prices_RAW!H40=""),"",LN(Monthly_Prices_RAW!H41/Monthly_Prices_RAW!H40))</f>
        <v>2.0550174751576469E-2</v>
      </c>
      <c r="H39">
        <f>IF(OR(Monthly_Prices_RAW!I41="",Monthly_Prices_RAW!I40=""),"",Monthly_Prices_RAW!I41-Monthly_Prices_RAW!I40)</f>
        <v>-0.20000000000000284</v>
      </c>
    </row>
    <row r="40" spans="1:8" x14ac:dyDescent="0.25">
      <c r="A40" s="1">
        <f>Monthly_Prices_RAW!B41</f>
        <v>41425</v>
      </c>
      <c r="B40">
        <f>IF(OR(Monthly_Prices_RAW!C42="",Monthly_Prices_RAW!C41=""),"",LN(Monthly_Prices_RAW!C42/Monthly_Prices_RAW!C41))</f>
        <v>-3.9146010243724445E-2</v>
      </c>
      <c r="C40">
        <f>IF(OR(Monthly_Prices_RAW!D42="",Monthly_Prices_RAW!D41=""),"",LN(Monthly_Prices_RAW!D42/Monthly_Prices_RAW!D41))</f>
        <v>2.1016535361658564E-2</v>
      </c>
      <c r="D40">
        <f>IF(OR(Monthly_Prices_RAW!E42="",Monthly_Prices_RAW!E41=""),"",LN(Monthly_Prices_RAW!E42/Monthly_Prices_RAW!E41))</f>
        <v>-7.6341643025528955E-2</v>
      </c>
      <c r="E40">
        <f>IF(OR(Monthly_Prices_RAW!F42="",Monthly_Prices_RAW!F41=""),"",LN(Monthly_Prices_RAW!F42/Monthly_Prices_RAW!F41))</f>
        <v>-7.2333778139939492E-2</v>
      </c>
      <c r="F40">
        <f>IF(OR(Monthly_Prices_RAW!G42="",Monthly_Prices_RAW!G41=""),"",LN(Monthly_Prices_RAW!G42/Monthly_Prices_RAW!G41))</f>
        <v>-4.6296150072689612E-2</v>
      </c>
      <c r="G40">
        <f>IF(OR(Monthly_Prices_RAW!H42="",Monthly_Prices_RAW!H41=""),"",LN(Monthly_Prices_RAW!H42/Monthly_Prices_RAW!H41))</f>
        <v>-1.5112952997701294E-2</v>
      </c>
      <c r="H40">
        <f>IF(OR(Monthly_Prices_RAW!I42="",Monthly_Prices_RAW!I41=""),"",Monthly_Prices_RAW!I42-Monthly_Prices_RAW!I41)</f>
        <v>0.30000000000000426</v>
      </c>
    </row>
    <row r="41" spans="1:8" x14ac:dyDescent="0.25">
      <c r="A41" s="1">
        <f>Monthly_Prices_RAW!B42</f>
        <v>41455</v>
      </c>
      <c r="B41">
        <f>IF(OR(Monthly_Prices_RAW!C43="",Monthly_Prices_RAW!C42=""),"",LN(Monthly_Prices_RAW!C43/Monthly_Prices_RAW!C42))</f>
        <v>9.0920090709494333E-2</v>
      </c>
      <c r="C41">
        <f>IF(OR(Monthly_Prices_RAW!D43="",Monthly_Prices_RAW!D42=""),"",LN(Monthly_Prices_RAW!D43/Monthly_Prices_RAW!D42))</f>
        <v>0.10049601683669032</v>
      </c>
      <c r="D41">
        <f>IF(OR(Monthly_Prices_RAW!E43="",Monthly_Prices_RAW!E42=""),"",LN(Monthly_Prices_RAW!E43/Monthly_Prices_RAW!E42))</f>
        <v>2.2046605374270268E-2</v>
      </c>
      <c r="E41">
        <f>IF(OR(Monthly_Prices_RAW!F43="",Monthly_Prices_RAW!F42=""),"",LN(Monthly_Prices_RAW!F43/Monthly_Prices_RAW!F42))</f>
        <v>1.7333394548361043E-2</v>
      </c>
      <c r="F41">
        <f>IF(OR(Monthly_Prices_RAW!G43="",Monthly_Prices_RAW!G42=""),"",LN(Monthly_Prices_RAW!G43/Monthly_Prices_RAW!G42))</f>
        <v>-1.7218968475533399E-2</v>
      </c>
      <c r="G41">
        <f>IF(OR(Monthly_Prices_RAW!H43="",Monthly_Prices_RAW!H42=""),"",LN(Monthly_Prices_RAW!H43/Monthly_Prices_RAW!H42))</f>
        <v>4.8277757876973679E-2</v>
      </c>
      <c r="H41">
        <f>IF(OR(Monthly_Prices_RAW!I43="",Monthly_Prices_RAW!I42=""),"",Monthly_Prices_RAW!I43-Monthly_Prices_RAW!I42)</f>
        <v>2.6999999999999957</v>
      </c>
    </row>
    <row r="42" spans="1:8" x14ac:dyDescent="0.25">
      <c r="A42" s="1">
        <f>Monthly_Prices_RAW!B43</f>
        <v>41486</v>
      </c>
      <c r="B42">
        <f>IF(OR(Monthly_Prices_RAW!C44="",Monthly_Prices_RAW!C43=""),"",LN(Monthly_Prices_RAW!C44/Monthly_Prices_RAW!C43))</f>
        <v>1.9576195462240795E-2</v>
      </c>
      <c r="C42">
        <f>IF(OR(Monthly_Prices_RAW!D44="",Monthly_Prices_RAW!D43=""),"",LN(Monthly_Prices_RAW!D44/Monthly_Prices_RAW!D43))</f>
        <v>5.2663828131204425E-2</v>
      </c>
      <c r="D42">
        <f>IF(OR(Monthly_Prices_RAW!E44="",Monthly_Prices_RAW!E43=""),"",LN(Monthly_Prices_RAW!E44/Monthly_Prices_RAW!E43))</f>
        <v>3.3580833263695452E-2</v>
      </c>
      <c r="E42">
        <f>IF(OR(Monthly_Prices_RAW!F44="",Monthly_Prices_RAW!F43=""),"",LN(Monthly_Prices_RAW!F44/Monthly_Prices_RAW!F43))</f>
        <v>5.252258100388184E-3</v>
      </c>
      <c r="F42">
        <f>IF(OR(Monthly_Prices_RAW!G44="",Monthly_Prices_RAW!G43=""),"",LN(Monthly_Prices_RAW!G44/Monthly_Prices_RAW!G43))</f>
        <v>-9.0589446887518136E-3</v>
      </c>
      <c r="G42">
        <f>IF(OR(Monthly_Prices_RAW!H44="",Monthly_Prices_RAW!H43=""),"",LN(Monthly_Prices_RAW!H44/Monthly_Prices_RAW!H43))</f>
        <v>-3.179826168331884E-2</v>
      </c>
      <c r="H42">
        <f>IF(OR(Monthly_Prices_RAW!I44="",Monthly_Prices_RAW!I43=""),"",Monthly_Prices_RAW!I44-Monthly_Prices_RAW!I43)</f>
        <v>0.20000000000000284</v>
      </c>
    </row>
    <row r="43" spans="1:8" x14ac:dyDescent="0.25">
      <c r="A43" s="1">
        <f>Monthly_Prices_RAW!B44</f>
        <v>41517</v>
      </c>
      <c r="B43">
        <f>IF(OR(Monthly_Prices_RAW!C45="",Monthly_Prices_RAW!C44=""),"",LN(Monthly_Prices_RAW!C45/Monthly_Prices_RAW!C44))</f>
        <v>7.7807269051332312E-2</v>
      </c>
      <c r="C43">
        <f>IF(OR(Monthly_Prices_RAW!D45="",Monthly_Prices_RAW!D44=""),"",LN(Monthly_Prices_RAW!D45/Monthly_Prices_RAW!D44))</f>
        <v>-1.9520139318624855E-2</v>
      </c>
      <c r="D43">
        <f>IF(OR(Monthly_Prices_RAW!E45="",Monthly_Prices_RAW!E44=""),"",LN(Monthly_Prices_RAW!E45/Monthly_Prices_RAW!E44))</f>
        <v>2.9935039124721487E-2</v>
      </c>
      <c r="E43">
        <f>IF(OR(Monthly_Prices_RAW!F45="",Monthly_Prices_RAW!F44=""),"",LN(Monthly_Prices_RAW!F45/Monthly_Prices_RAW!F44))</f>
        <v>1.7220597751670556E-2</v>
      </c>
      <c r="F43">
        <f>IF(OR(Monthly_Prices_RAW!G45="",Monthly_Prices_RAW!G44=""),"",LN(Monthly_Prices_RAW!G45/Monthly_Prices_RAW!G44))</f>
        <v>4.5677058491493325E-2</v>
      </c>
      <c r="G43">
        <f>IF(OR(Monthly_Prices_RAW!H45="",Monthly_Prices_RAW!H44=""),"",LN(Monthly_Prices_RAW!H45/Monthly_Prices_RAW!H44))</f>
        <v>2.9315544388002535E-2</v>
      </c>
      <c r="H43">
        <f>IF(OR(Monthly_Prices_RAW!I45="",Monthly_Prices_RAW!I44=""),"",Monthly_Prices_RAW!I45-Monthly_Prices_RAW!I44)</f>
        <v>0.60000000000000142</v>
      </c>
    </row>
    <row r="44" spans="1:8" x14ac:dyDescent="0.25">
      <c r="A44" s="1">
        <f>Monthly_Prices_RAW!B45</f>
        <v>41547</v>
      </c>
      <c r="B44">
        <f>IF(OR(Monthly_Prices_RAW!C46="",Monthly_Prices_RAW!C45=""),"",LN(Monthly_Prices_RAW!C46/Monthly_Prices_RAW!C45))</f>
        <v>3.9014788524920435E-2</v>
      </c>
      <c r="C44">
        <f>IF(OR(Monthly_Prices_RAW!D46="",Monthly_Prices_RAW!D45=""),"",LN(Monthly_Prices_RAW!D46/Monthly_Prices_RAW!D45))</f>
        <v>1.2806201379276292E-2</v>
      </c>
      <c r="D44">
        <f>IF(OR(Monthly_Prices_RAW!E46="",Monthly_Prices_RAW!E45=""),"",LN(Monthly_Prices_RAW!E46/Monthly_Prices_RAW!E45))</f>
        <v>-6.7940172257687798E-3</v>
      </c>
      <c r="E44">
        <f>IF(OR(Monthly_Prices_RAW!F46="",Monthly_Prices_RAW!F45=""),"",LN(Monthly_Prices_RAW!F46/Monthly_Prices_RAW!F45))</f>
        <v>7.5594312468163635E-3</v>
      </c>
      <c r="F44">
        <f>IF(OR(Monthly_Prices_RAW!G46="",Monthly_Prices_RAW!G45=""),"",LN(Monthly_Prices_RAW!G46/Monthly_Prices_RAW!G45))</f>
        <v>1.4808772195454421E-2</v>
      </c>
      <c r="G44">
        <f>IF(OR(Monthly_Prices_RAW!H46="",Monthly_Prices_RAW!H45=""),"",LN(Monthly_Prices_RAW!H46/Monthly_Prices_RAW!H45))</f>
        <v>4.3629977912082465E-2</v>
      </c>
      <c r="H44">
        <f>IF(OR(Monthly_Prices_RAW!I46="",Monthly_Prices_RAW!I45=""),"",Monthly_Prices_RAW!I46-Monthly_Prices_RAW!I45)</f>
        <v>0</v>
      </c>
    </row>
    <row r="45" spans="1:8" x14ac:dyDescent="0.25">
      <c r="A45" s="1">
        <f>Monthly_Prices_RAW!B46</f>
        <v>41578</v>
      </c>
      <c r="B45">
        <f>IF(OR(Monthly_Prices_RAW!C47="",Monthly_Prices_RAW!C46=""),"",LN(Monthly_Prices_RAW!C47/Monthly_Prices_RAW!C46))</f>
        <v>4.530829220074651E-2</v>
      </c>
      <c r="C45">
        <f>IF(OR(Monthly_Prices_RAW!D47="",Monthly_Prices_RAW!D46=""),"",LN(Monthly_Prices_RAW!D47/Monthly_Prices_RAW!D46))</f>
        <v>1.7510463725369983E-2</v>
      </c>
      <c r="D45">
        <f>IF(OR(Monthly_Prices_RAW!E47="",Monthly_Prices_RAW!E46=""),"",LN(Monthly_Prices_RAW!E47/Monthly_Prices_RAW!E46))</f>
        <v>-2.1437048130605294E-2</v>
      </c>
      <c r="E45">
        <f>IF(OR(Monthly_Prices_RAW!F47="",Monthly_Prices_RAW!F46=""),"",LN(Monthly_Prices_RAW!F47/Monthly_Prices_RAW!F46))</f>
        <v>-5.7569851821477822E-2</v>
      </c>
      <c r="F45">
        <f>IF(OR(Monthly_Prices_RAW!G47="",Monthly_Prices_RAW!G46=""),"",LN(Monthly_Prices_RAW!G47/Monthly_Prices_RAW!G46))</f>
        <v>-3.7496312462249111E-2</v>
      </c>
      <c r="G45">
        <f>IF(OR(Monthly_Prices_RAW!H47="",Monthly_Prices_RAW!H46=""),"",LN(Monthly_Prices_RAW!H47/Monthly_Prices_RAW!H46))</f>
        <v>2.7663279564206007E-2</v>
      </c>
      <c r="H45">
        <f>IF(OR(Monthly_Prices_RAW!I47="",Monthly_Prices_RAW!I46=""),"",Monthly_Prices_RAW!I47-Monthly_Prices_RAW!I46)</f>
        <v>0.89999999999999858</v>
      </c>
    </row>
    <row r="46" spans="1:8" x14ac:dyDescent="0.25">
      <c r="A46" s="1">
        <f>Monthly_Prices_RAW!B47</f>
        <v>41608</v>
      </c>
      <c r="B46">
        <f>IF(OR(Monthly_Prices_RAW!C48="",Monthly_Prices_RAW!C47=""),"",LN(Monthly_Prices_RAW!C48/Monthly_Prices_RAW!C47))</f>
        <v>6.1765891307899827E-2</v>
      </c>
      <c r="C46">
        <f>IF(OR(Monthly_Prices_RAW!D48="",Monthly_Prices_RAW!D47=""),"",LN(Monthly_Prices_RAW!D48/Monthly_Prices_RAW!D47))</f>
        <v>-1.8933631637200569E-2</v>
      </c>
      <c r="D46">
        <f>IF(OR(Monthly_Prices_RAW!E48="",Monthly_Prices_RAW!E47=""),"",LN(Monthly_Prices_RAW!E48/Monthly_Prices_RAW!E47))</f>
        <v>5.0108565633136364E-2</v>
      </c>
      <c r="E46">
        <f>IF(OR(Monthly_Prices_RAW!F48="",Monthly_Prices_RAW!F47=""),"",LN(Monthly_Prices_RAW!F48/Monthly_Prices_RAW!F47))</f>
        <v>2.545668722901006E-2</v>
      </c>
      <c r="F46">
        <f>IF(OR(Monthly_Prices_RAW!G48="",Monthly_Prices_RAW!G47=""),"",LN(Monthly_Prices_RAW!G48/Monthly_Prices_RAW!G47))</f>
        <v>-2.1193581048750798E-2</v>
      </c>
      <c r="G46">
        <f>IF(OR(Monthly_Prices_RAW!H48="",Monthly_Prices_RAW!H47=""),"",LN(Monthly_Prices_RAW!H48/Monthly_Prices_RAW!H47))</f>
        <v>2.328951485450324E-2</v>
      </c>
      <c r="H46">
        <f>IF(OR(Monthly_Prices_RAW!I48="",Monthly_Prices_RAW!I47=""),"",Monthly_Prices_RAW!I48-Monthly_Prices_RAW!I47)</f>
        <v>1</v>
      </c>
    </row>
    <row r="47" spans="1:8" x14ac:dyDescent="0.25">
      <c r="A47" s="1">
        <f>Monthly_Prices_RAW!B48</f>
        <v>41639</v>
      </c>
      <c r="B47">
        <f>IF(OR(Monthly_Prices_RAW!C49="",Monthly_Prices_RAW!C48=""),"",LN(Monthly_Prices_RAW!C49/Monthly_Prices_RAW!C48))</f>
        <v>-5.9881876049130187E-2</v>
      </c>
      <c r="C47">
        <f>IF(OR(Monthly_Prices_RAW!D49="",Monthly_Prices_RAW!D48=""),"",LN(Monthly_Prices_RAW!D49/Monthly_Prices_RAW!D48))</f>
        <v>-6.1918464991894358E-2</v>
      </c>
      <c r="D47">
        <f>IF(OR(Monthly_Prices_RAW!E49="",Monthly_Prices_RAW!E48=""),"",LN(Monthly_Prices_RAW!E49/Monthly_Prices_RAW!E48))</f>
        <v>-6.0532619571515109E-2</v>
      </c>
      <c r="E47">
        <f>IF(OR(Monthly_Prices_RAW!F49="",Monthly_Prices_RAW!F48=""),"",LN(Monthly_Prices_RAW!F49/Monthly_Prices_RAW!F48))</f>
        <v>-5.3774095077351765E-2</v>
      </c>
      <c r="F47">
        <f>IF(OR(Monthly_Prices_RAW!G49="",Monthly_Prices_RAW!G48=""),"",LN(Monthly_Prices_RAW!G49/Monthly_Prices_RAW!G48))</f>
        <v>-1.8220387492125911E-2</v>
      </c>
      <c r="G47">
        <f>IF(OR(Monthly_Prices_RAW!H49="",Monthly_Prices_RAW!H48=""),"",LN(Monthly_Prices_RAW!H49/Monthly_Prices_RAW!H48))</f>
        <v>-3.6231396526946812E-2</v>
      </c>
      <c r="H47">
        <f>IF(OR(Monthly_Prices_RAW!I49="",Monthly_Prices_RAW!I48=""),"",Monthly_Prices_RAW!I49-Monthly_Prices_RAW!I48)</f>
        <v>-4</v>
      </c>
    </row>
    <row r="48" spans="1:8" x14ac:dyDescent="0.25">
      <c r="A48" s="1">
        <f>Monthly_Prices_RAW!B49</f>
        <v>41670</v>
      </c>
      <c r="B48">
        <f>IF(OR(Monthly_Prices_RAW!C50="",Monthly_Prices_RAW!C49=""),"",LN(Monthly_Prices_RAW!C50/Monthly_Prices_RAW!C49))</f>
        <v>7.5182104581850193E-2</v>
      </c>
      <c r="C48">
        <f>IF(OR(Monthly_Prices_RAW!D50="",Monthly_Prices_RAW!D49=""),"",LN(Monthly_Prices_RAW!D50/Monthly_Prices_RAW!D49))</f>
        <v>-7.9644063059925524E-2</v>
      </c>
      <c r="D48">
        <f>IF(OR(Monthly_Prices_RAW!E50="",Monthly_Prices_RAW!E49=""),"",LN(Monthly_Prices_RAW!E50/Monthly_Prices_RAW!E49))</f>
        <v>1.2897389563130341E-2</v>
      </c>
      <c r="E48">
        <f>IF(OR(Monthly_Prices_RAW!F50="",Monthly_Prices_RAW!F49=""),"",LN(Monthly_Prices_RAW!F50/Monthly_Prices_RAW!F49))</f>
        <v>2.7747444880503999E-2</v>
      </c>
      <c r="F48">
        <f>IF(OR(Monthly_Prices_RAW!G50="",Monthly_Prices_RAW!G49=""),"",LN(Monthly_Prices_RAW!G50/Monthly_Prices_RAW!G49))</f>
        <v>1.9005096909669495E-2</v>
      </c>
      <c r="G48">
        <f>IF(OR(Monthly_Prices_RAW!H50="",Monthly_Prices_RAW!H49=""),"",LN(Monthly_Prices_RAW!H50/Monthly_Prices_RAW!H49))</f>
        <v>4.2213382157548759E-2</v>
      </c>
      <c r="H48">
        <f>IF(OR(Monthly_Prices_RAW!I50="",Monthly_Prices_RAW!I49=""),"",Monthly_Prices_RAW!I50-Monthly_Prices_RAW!I49)</f>
        <v>2.5</v>
      </c>
    </row>
    <row r="49" spans="1:8" x14ac:dyDescent="0.25">
      <c r="A49" s="1">
        <f>Monthly_Prices_RAW!B50</f>
        <v>41698</v>
      </c>
      <c r="B49">
        <f>IF(OR(Monthly_Prices_RAW!C51="",Monthly_Prices_RAW!C50=""),"",LN(Monthly_Prices_RAW!C51/Monthly_Prices_RAW!C50))</f>
        <v>-6.2078614034025113E-3</v>
      </c>
      <c r="C49">
        <f>IF(OR(Monthly_Prices_RAW!D51="",Monthly_Prices_RAW!D50=""),"",LN(Monthly_Prices_RAW!D51/Monthly_Prices_RAW!D50))</f>
        <v>-6.8807840493732245E-2</v>
      </c>
      <c r="D49">
        <f>IF(OR(Monthly_Prices_RAW!E51="",Monthly_Prices_RAW!E50=""),"",LN(Monthly_Prices_RAW!E51/Monthly_Prices_RAW!E50))</f>
        <v>-6.803389256059561E-2</v>
      </c>
      <c r="E49">
        <f>IF(OR(Monthly_Prices_RAW!F51="",Monthly_Prices_RAW!F50=""),"",LN(Monthly_Prices_RAW!F51/Monthly_Prices_RAW!F50))</f>
        <v>1.7519521281611071E-2</v>
      </c>
      <c r="F49">
        <f>IF(OR(Monthly_Prices_RAW!G51="",Monthly_Prices_RAW!G50=""),"",LN(Monthly_Prices_RAW!G51/Monthly_Prices_RAW!G50))</f>
        <v>3.7391644260353352E-2</v>
      </c>
      <c r="G49">
        <f>IF(OR(Monthly_Prices_RAW!H51="",Monthly_Prices_RAW!H50=""),"",LN(Monthly_Prices_RAW!H51/Monthly_Prices_RAW!H50))</f>
        <v>6.9082404225633224E-3</v>
      </c>
      <c r="H49">
        <f>IF(OR(Monthly_Prices_RAW!I51="",Monthly_Prices_RAW!I50=""),"",Monthly_Prices_RAW!I51-Monthly_Prices_RAW!I50)</f>
        <v>0.89999999999999858</v>
      </c>
    </row>
    <row r="50" spans="1:8" x14ac:dyDescent="0.25">
      <c r="A50" s="1">
        <f>Monthly_Prices_RAW!B51</f>
        <v>41729</v>
      </c>
      <c r="B50">
        <f>IF(OR(Monthly_Prices_RAW!C52="",Monthly_Prices_RAW!C51=""),"",LN(Monthly_Prices_RAW!C52/Monthly_Prices_RAW!C51))</f>
        <v>-2.7971446383088093E-2</v>
      </c>
      <c r="C50">
        <f>IF(OR(Monthly_Prices_RAW!D52="",Monthly_Prices_RAW!D51=""),"",LN(Monthly_Prices_RAW!D52/Monthly_Prices_RAW!D51))</f>
        <v>-3.9627826539980746E-2</v>
      </c>
      <c r="D50">
        <f>IF(OR(Monthly_Prices_RAW!E52="",Monthly_Prices_RAW!E51=""),"",LN(Monthly_Prices_RAW!E52/Monthly_Prices_RAW!E51))</f>
        <v>1.3212223226674463E-3</v>
      </c>
      <c r="E50">
        <f>IF(OR(Monthly_Prices_RAW!F52="",Monthly_Prices_RAW!F51=""),"",LN(Monthly_Prices_RAW!F52/Monthly_Prices_RAW!F51))</f>
        <v>8.3682496705165792E-3</v>
      </c>
      <c r="F50">
        <f>IF(OR(Monthly_Prices_RAW!G52="",Monthly_Prices_RAW!G51=""),"",LN(Monthly_Prices_RAW!G52/Monthly_Prices_RAW!G51))</f>
        <v>2.4796519632317845E-3</v>
      </c>
      <c r="G50">
        <f>IF(OR(Monthly_Prices_RAW!H52="",Monthly_Prices_RAW!H51=""),"",LN(Monthly_Prices_RAW!H52/Monthly_Prices_RAW!H51))</f>
        <v>6.1816510284721333E-3</v>
      </c>
      <c r="H50">
        <f>IF(OR(Monthly_Prices_RAW!I52="",Monthly_Prices_RAW!I51=""),"",Monthly_Prices_RAW!I52-Monthly_Prices_RAW!I51)</f>
        <v>0.70000000000000284</v>
      </c>
    </row>
    <row r="51" spans="1:8" x14ac:dyDescent="0.25">
      <c r="A51" s="1">
        <f>Monthly_Prices_RAW!B52</f>
        <v>41759</v>
      </c>
      <c r="B51">
        <f>IF(OR(Monthly_Prices_RAW!C53="",Monthly_Prices_RAW!C52=""),"",LN(Monthly_Prices_RAW!C53/Monthly_Prices_RAW!C52))</f>
        <v>-5.5091536591386138E-2</v>
      </c>
      <c r="C51">
        <f>IF(OR(Monthly_Prices_RAW!D53="",Monthly_Prices_RAW!D52=""),"",LN(Monthly_Prices_RAW!D53/Monthly_Prices_RAW!D52))</f>
        <v>-0.11946876754263359</v>
      </c>
      <c r="D51">
        <f>IF(OR(Monthly_Prices_RAW!E53="",Monthly_Prices_RAW!E52=""),"",LN(Monthly_Prices_RAW!E53/Monthly_Prices_RAW!E52))</f>
        <v>3.0556578548581015E-2</v>
      </c>
      <c r="E51">
        <f>IF(OR(Monthly_Prices_RAW!F53="",Monthly_Prices_RAW!F52=""),"",LN(Monthly_Prices_RAW!F53/Monthly_Prices_RAW!F52))</f>
        <v>2.0891359031376268E-2</v>
      </c>
      <c r="F51">
        <f>IF(OR(Monthly_Prices_RAW!G53="",Monthly_Prices_RAW!G52=""),"",LN(Monthly_Prices_RAW!G53/Monthly_Prices_RAW!G52))</f>
        <v>2.4735184951045351E-3</v>
      </c>
      <c r="G51">
        <f>IF(OR(Monthly_Prices_RAW!H53="",Monthly_Prices_RAW!H52=""),"",LN(Monthly_Prices_RAW!H53/Monthly_Prices_RAW!H52))</f>
        <v>2.0812198017934665E-2</v>
      </c>
      <c r="H51">
        <f>IF(OR(Monthly_Prices_RAW!I53="",Monthly_Prices_RAW!I52=""),"",Monthly_Prices_RAW!I53-Monthly_Prices_RAW!I52)</f>
        <v>-0.89999999999999858</v>
      </c>
    </row>
    <row r="52" spans="1:8" x14ac:dyDescent="0.25">
      <c r="A52" s="1">
        <f>Monthly_Prices_RAW!B53</f>
        <v>41790</v>
      </c>
      <c r="B52">
        <f>IF(OR(Monthly_Prices_RAW!C54="",Monthly_Prices_RAW!C53=""),"",LN(Monthly_Prices_RAW!C54/Monthly_Prices_RAW!C53))</f>
        <v>5.4907237249240987E-2</v>
      </c>
      <c r="C52">
        <f>IF(OR(Monthly_Prices_RAW!D54="",Monthly_Prices_RAW!D53=""),"",LN(Monthly_Prices_RAW!D54/Monthly_Prices_RAW!D53))</f>
        <v>-1.9715863164417317E-2</v>
      </c>
      <c r="D52">
        <f>IF(OR(Monthly_Prices_RAW!E54="",Monthly_Prices_RAW!E53=""),"",LN(Monthly_Prices_RAW!E54/Monthly_Prices_RAW!E53))</f>
        <v>2.0439592976481034E-2</v>
      </c>
      <c r="E52">
        <f>IF(OR(Monthly_Prices_RAW!F54="",Monthly_Prices_RAW!F53=""),"",LN(Monthly_Prices_RAW!F54/Monthly_Prices_RAW!F53))</f>
        <v>2.8427765742825135E-2</v>
      </c>
      <c r="F52">
        <f>IF(OR(Monthly_Prices_RAW!G54="",Monthly_Prices_RAW!G53=""),"",LN(Monthly_Prices_RAW!G54/Monthly_Prices_RAW!G53))</f>
        <v>1.3125088378740322E-2</v>
      </c>
      <c r="G52">
        <f>IF(OR(Monthly_Prices_RAW!H54="",Monthly_Prices_RAW!H53=""),"",LN(Monthly_Prices_RAW!H54/Monthly_Prices_RAW!H53))</f>
        <v>1.8878978754786419E-2</v>
      </c>
      <c r="H52">
        <f>IF(OR(Monthly_Prices_RAW!I54="",Monthly_Prices_RAW!I53=""),"",Monthly_Prices_RAW!I54-Monthly_Prices_RAW!I53)</f>
        <v>-0.70000000000000284</v>
      </c>
    </row>
    <row r="53" spans="1:8" x14ac:dyDescent="0.25">
      <c r="A53" s="1">
        <f>Monthly_Prices_RAW!B54</f>
        <v>41820</v>
      </c>
      <c r="B53">
        <f>IF(OR(Monthly_Prices_RAW!C55="",Monthly_Prices_RAW!C54=""),"",LN(Monthly_Prices_RAW!C55/Monthly_Prices_RAW!C54))</f>
        <v>5.3969948102153685E-2</v>
      </c>
      <c r="C53">
        <f>IF(OR(Monthly_Prices_RAW!D55="",Monthly_Prices_RAW!D54=""),"",LN(Monthly_Prices_RAW!D55/Monthly_Prices_RAW!D54))</f>
        <v>2.0799874110675555E-2</v>
      </c>
      <c r="D53">
        <f>IF(OR(Monthly_Prices_RAW!E55="",Monthly_Prices_RAW!E54=""),"",LN(Monthly_Prices_RAW!E55/Monthly_Prices_RAW!E54))</f>
        <v>1.3397925914392608E-2</v>
      </c>
      <c r="E53">
        <f>IF(OR(Monthly_Prices_RAW!F55="",Monthly_Prices_RAW!F54=""),"",LN(Monthly_Prices_RAW!F55/Monthly_Prices_RAW!F54))</f>
        <v>5.0023318558061941E-2</v>
      </c>
      <c r="F53">
        <f>IF(OR(Monthly_Prices_RAW!G55="",Monthly_Prices_RAW!G54=""),"",LN(Monthly_Prices_RAW!G55/Monthly_Prices_RAW!G54))</f>
        <v>-1.4737558494308878E-2</v>
      </c>
      <c r="G53">
        <f>IF(OR(Monthly_Prices_RAW!H55="",Monthly_Prices_RAW!H54=""),"",LN(Monthly_Prices_RAW!H55/Monthly_Prices_RAW!H54))</f>
        <v>-1.5194720363435775E-2</v>
      </c>
      <c r="H53">
        <f>IF(OR(Monthly_Prices_RAW!I55="",Monthly_Prices_RAW!I54=""),"",Monthly_Prices_RAW!I55-Monthly_Prices_RAW!I54)</f>
        <v>0.10000000000000142</v>
      </c>
    </row>
    <row r="54" spans="1:8" x14ac:dyDescent="0.25">
      <c r="A54" s="1">
        <f>Monthly_Prices_RAW!B55</f>
        <v>41851</v>
      </c>
      <c r="B54">
        <f>IF(OR(Monthly_Prices_RAW!C56="",Monthly_Prices_RAW!C55=""),"",LN(Monthly_Prices_RAW!C56/Monthly_Prices_RAW!C55))</f>
        <v>-4.7869947234416385E-2</v>
      </c>
      <c r="C54">
        <f>IF(OR(Monthly_Prices_RAW!D56="",Monthly_Prices_RAW!D55=""),"",LN(Monthly_Prices_RAW!D56/Monthly_Prices_RAW!D55))</f>
        <v>-6.8373963839159044E-2</v>
      </c>
      <c r="D54">
        <f>IF(OR(Monthly_Prices_RAW!E56="",Monthly_Prices_RAW!E55=""),"",LN(Monthly_Prices_RAW!E56/Monthly_Prices_RAW!E55))</f>
        <v>-3.0162512757477257E-2</v>
      </c>
      <c r="E54">
        <f>IF(OR(Monthly_Prices_RAW!F56="",Monthly_Prices_RAW!F55=""),"",LN(Monthly_Prices_RAW!F56/Monthly_Prices_RAW!F55))</f>
        <v>5.314017939429809E-2</v>
      </c>
      <c r="F54">
        <f>IF(OR(Monthly_Prices_RAW!G56="",Monthly_Prices_RAW!G55=""),"",LN(Monthly_Prices_RAW!G56/Monthly_Prices_RAW!G55))</f>
        <v>4.7225589541733167E-3</v>
      </c>
      <c r="G54">
        <f>IF(OR(Monthly_Prices_RAW!H56="",Monthly_Prices_RAW!H55=""),"",LN(Monthly_Prices_RAW!H56/Monthly_Prices_RAW!H55))</f>
        <v>3.6963669606978507E-2</v>
      </c>
      <c r="H54">
        <f>IF(OR(Monthly_Prices_RAW!I56="",Monthly_Prices_RAW!I55=""),"",Monthly_Prices_RAW!I56-Monthly_Prices_RAW!I55)</f>
        <v>1.1999999999999957</v>
      </c>
    </row>
    <row r="55" spans="1:8" x14ac:dyDescent="0.25">
      <c r="A55" s="1">
        <f>Monthly_Prices_RAW!B56</f>
        <v>41882</v>
      </c>
      <c r="B55">
        <f>IF(OR(Monthly_Prices_RAW!C57="",Monthly_Prices_RAW!C56=""),"",LN(Monthly_Prices_RAW!C57/Monthly_Prices_RAW!C56))</f>
        <v>-8.8669688364358956E-2</v>
      </c>
      <c r="C55">
        <f>IF(OR(Monthly_Prices_RAW!D57="",Monthly_Prices_RAW!D56=""),"",LN(Monthly_Prices_RAW!D57/Monthly_Prices_RAW!D56))</f>
        <v>-6.4693212142597822E-2</v>
      </c>
      <c r="D55">
        <f>IF(OR(Monthly_Prices_RAW!E57="",Monthly_Prices_RAW!E56=""),"",LN(Monthly_Prices_RAW!E57/Monthly_Prices_RAW!E56))</f>
        <v>-4.1520005218187175E-2</v>
      </c>
      <c r="E55">
        <f>IF(OR(Monthly_Prices_RAW!F57="",Monthly_Prices_RAW!F56=""),"",LN(Monthly_Prices_RAW!F57/Monthly_Prices_RAW!F56))</f>
        <v>-6.7324814386254386E-2</v>
      </c>
      <c r="F55">
        <f>IF(OR(Monthly_Prices_RAW!G57="",Monthly_Prices_RAW!G56=""),"",LN(Monthly_Prices_RAW!G57/Monthly_Prices_RAW!G56))</f>
        <v>-6.5488395689862908E-2</v>
      </c>
      <c r="G55">
        <f>IF(OR(Monthly_Prices_RAW!H57="",Monthly_Prices_RAW!H56=""),"",LN(Monthly_Prices_RAW!H57/Monthly_Prices_RAW!H56))</f>
        <v>-1.563545834824645E-2</v>
      </c>
      <c r="H55">
        <f>IF(OR(Monthly_Prices_RAW!I57="",Monthly_Prices_RAW!I56=""),"",Monthly_Prices_RAW!I57-Monthly_Prices_RAW!I56)</f>
        <v>-0.59999999999999432</v>
      </c>
    </row>
    <row r="56" spans="1:8" x14ac:dyDescent="0.25">
      <c r="A56" s="1">
        <f>Monthly_Prices_RAW!B57</f>
        <v>41912</v>
      </c>
      <c r="B56">
        <f>IF(OR(Monthly_Prices_RAW!C58="",Monthly_Prices_RAW!C57=""),"",LN(Monthly_Prices_RAW!C58/Monthly_Prices_RAW!C57))</f>
        <v>-2.4912165799803831E-2</v>
      </c>
      <c r="C56">
        <f>IF(OR(Monthly_Prices_RAW!D58="",Monthly_Prices_RAW!D57=""),"",LN(Monthly_Prices_RAW!D58/Monthly_Prices_RAW!D57))</f>
        <v>-4.1699029167748307E-2</v>
      </c>
      <c r="D56">
        <f>IF(OR(Monthly_Prices_RAW!E58="",Monthly_Prices_RAW!E57=""),"",LN(Monthly_Prices_RAW!E58/Monthly_Prices_RAW!E57))</f>
        <v>1.3048331136875032E-2</v>
      </c>
      <c r="E56">
        <f>IF(OR(Monthly_Prices_RAW!F58="",Monthly_Prices_RAW!F57=""),"",LN(Monthly_Prices_RAW!F58/Monthly_Prices_RAW!F57))</f>
        <v>3.9515018349892246E-2</v>
      </c>
      <c r="F56">
        <f>IF(OR(Monthly_Prices_RAW!G58="",Monthly_Prices_RAW!G57=""),"",LN(Monthly_Prices_RAW!G58/Monthly_Prices_RAW!G57))</f>
        <v>5.8136384888102539E-3</v>
      </c>
      <c r="G56">
        <f>IF(OR(Monthly_Prices_RAW!H58="",Monthly_Prices_RAW!H57=""),"",LN(Monthly_Prices_RAW!H58/Monthly_Prices_RAW!H57))</f>
        <v>2.2936394439525502E-2</v>
      </c>
      <c r="H56">
        <f>IF(OR(Monthly_Prices_RAW!I58="",Monthly_Prices_RAW!I57=""),"",Monthly_Prices_RAW!I58-Monthly_Prices_RAW!I57)</f>
        <v>0.5</v>
      </c>
    </row>
    <row r="57" spans="1:8" x14ac:dyDescent="0.25">
      <c r="A57" s="1">
        <f>Monthly_Prices_RAW!B58</f>
        <v>41943</v>
      </c>
      <c r="B57">
        <f>IF(OR(Monthly_Prices_RAW!C59="",Monthly_Prices_RAW!C58=""),"",LN(Monthly_Prices_RAW!C59/Monthly_Prices_RAW!C58))</f>
        <v>-2.8973955514120159E-2</v>
      </c>
      <c r="C57">
        <f>IF(OR(Monthly_Prices_RAW!D59="",Monthly_Prices_RAW!D58=""),"",LN(Monthly_Prices_RAW!D59/Monthly_Prices_RAW!D58))</f>
        <v>-9.6084673195304532E-2</v>
      </c>
      <c r="D57">
        <f>IF(OR(Monthly_Prices_RAW!E59="",Monthly_Prices_RAW!E58=""),"",LN(Monthly_Prices_RAW!E59/Monthly_Prices_RAW!E58))</f>
        <v>-6.333587517181076E-2</v>
      </c>
      <c r="E57">
        <f>IF(OR(Monthly_Prices_RAW!F59="",Monthly_Prices_RAW!F58=""),"",LN(Monthly_Prices_RAW!F59/Monthly_Prices_RAW!F58))</f>
        <v>-1.731430836969974E-2</v>
      </c>
      <c r="F57">
        <f>IF(OR(Monthly_Prices_RAW!G59="",Monthly_Prices_RAW!G58=""),"",LN(Monthly_Prices_RAW!G59/Monthly_Prices_RAW!G58))</f>
        <v>-3.3752626095086204E-2</v>
      </c>
      <c r="G57">
        <f>IF(OR(Monthly_Prices_RAW!H59="",Monthly_Prices_RAW!H58=""),"",LN(Monthly_Prices_RAW!H59/Monthly_Prices_RAW!H58))</f>
        <v>2.4237469419438731E-2</v>
      </c>
      <c r="H57">
        <f>IF(OR(Monthly_Prices_RAW!I59="",Monthly_Prices_RAW!I58=""),"",Monthly_Prices_RAW!I59-Monthly_Prices_RAW!I58)</f>
        <v>9.9999999999994316E-2</v>
      </c>
    </row>
    <row r="58" spans="1:8" x14ac:dyDescent="0.25">
      <c r="A58" s="1">
        <f>Monthly_Prices_RAW!B59</f>
        <v>41973</v>
      </c>
      <c r="B58">
        <f>IF(OR(Monthly_Prices_RAW!C60="",Monthly_Prices_RAW!C59=""),"",LN(Monthly_Prices_RAW!C60/Monthly_Prices_RAW!C59))</f>
        <v>-1.165702766923756E-2</v>
      </c>
      <c r="C58">
        <f>IF(OR(Monthly_Prices_RAW!D60="",Monthly_Prices_RAW!D59=""),"",LN(Monthly_Prices_RAW!D60/Monthly_Prices_RAW!D59))</f>
        <v>-1.5748356968139282E-2</v>
      </c>
      <c r="D58">
        <f>IF(OR(Monthly_Prices_RAW!E60="",Monthly_Prices_RAW!E59=""),"",LN(Monthly_Prices_RAW!E60/Monthly_Prices_RAW!E59))</f>
        <v>-1.2136284744000234E-2</v>
      </c>
      <c r="E58">
        <f>IF(OR(Monthly_Prices_RAW!F60="",Monthly_Prices_RAW!F59=""),"",LN(Monthly_Prices_RAW!F60/Monthly_Prices_RAW!F59))</f>
        <v>-7.8609105034513432E-2</v>
      </c>
      <c r="F58">
        <f>IF(OR(Monthly_Prices_RAW!G60="",Monthly_Prices_RAW!G59=""),"",LN(Monthly_Prices_RAW!G60/Monthly_Prices_RAW!G59))</f>
        <v>-3.9691080048124744E-2</v>
      </c>
      <c r="G58">
        <f>IF(OR(Monthly_Prices_RAW!H60="",Monthly_Prices_RAW!H59=""),"",LN(Monthly_Prices_RAW!H60/Monthly_Prices_RAW!H59))</f>
        <v>-4.1973084502868246E-3</v>
      </c>
      <c r="H58">
        <f>IF(OR(Monthly_Prices_RAW!I60="",Monthly_Prices_RAW!I59=""),"",Monthly_Prices_RAW!I60-Monthly_Prices_RAW!I59)</f>
        <v>-0.59999999999999432</v>
      </c>
    </row>
    <row r="59" spans="1:8" x14ac:dyDescent="0.25">
      <c r="A59" s="1">
        <f>Monthly_Prices_RAW!B60</f>
        <v>42004</v>
      </c>
      <c r="B59">
        <f>IF(OR(Monthly_Prices_RAW!C61="",Monthly_Prices_RAW!C60=""),"",LN(Monthly_Prices_RAW!C61/Monthly_Prices_RAW!C60))</f>
        <v>-4.2804085989239675E-2</v>
      </c>
      <c r="C59">
        <f>IF(OR(Monthly_Prices_RAW!D61="",Monthly_Prices_RAW!D60=""),"",LN(Monthly_Prices_RAW!D61/Monthly_Prices_RAW!D60))</f>
        <v>-7.6441695499942008E-2</v>
      </c>
      <c r="D59">
        <f>IF(OR(Monthly_Prices_RAW!E61="",Monthly_Prices_RAW!E60=""),"",LN(Monthly_Prices_RAW!E61/Monthly_Prices_RAW!E60))</f>
        <v>-0.12459703176880606</v>
      </c>
      <c r="E59">
        <f>IF(OR(Monthly_Prices_RAW!F61="",Monthly_Prices_RAW!F60=""),"",LN(Monthly_Prices_RAW!F61/Monthly_Prices_RAW!F60))</f>
        <v>6.1886380752945768E-3</v>
      </c>
      <c r="F59">
        <f>IF(OR(Monthly_Prices_RAW!G61="",Monthly_Prices_RAW!G60=""),"",LN(Monthly_Prices_RAW!G61/Monthly_Prices_RAW!G60))</f>
        <v>-5.1840683836602536E-2</v>
      </c>
      <c r="G59">
        <f>IF(OR(Monthly_Prices_RAW!H61="",Monthly_Prices_RAW!H60=""),"",LN(Monthly_Prices_RAW!H61/Monthly_Prices_RAW!H60))</f>
        <v>-3.1532821802626031E-2</v>
      </c>
      <c r="H59">
        <f>IF(OR(Monthly_Prices_RAW!I61="",Monthly_Prices_RAW!I60=""),"",Monthly_Prices_RAW!I61-Monthly_Prices_RAW!I60)</f>
        <v>-1.8000000000000043</v>
      </c>
    </row>
    <row r="60" spans="1:8" x14ac:dyDescent="0.25">
      <c r="A60" s="1">
        <f>Monthly_Prices_RAW!B61</f>
        <v>42035</v>
      </c>
      <c r="B60">
        <f>IF(OR(Monthly_Prices_RAW!C62="",Monthly_Prices_RAW!C61=""),"",LN(Monthly_Prices_RAW!C62/Monthly_Prices_RAW!C61))</f>
        <v>0.11139178480015563</v>
      </c>
      <c r="C60">
        <f>IF(OR(Monthly_Prices_RAW!D62="",Monthly_Prices_RAW!D61=""),"",LN(Monthly_Prices_RAW!D62/Monthly_Prices_RAW!D61))</f>
        <v>0</v>
      </c>
      <c r="D60">
        <f>IF(OR(Monthly_Prices_RAW!E62="",Monthly_Prices_RAW!E61=""),"",LN(Monthly_Prices_RAW!E62/Monthly_Prices_RAW!E61))</f>
        <v>8.5071901377494888E-2</v>
      </c>
      <c r="E60">
        <f>IF(OR(Monthly_Prices_RAW!F62="",Monthly_Prices_RAW!F61=""),"",LN(Monthly_Prices_RAW!F62/Monthly_Prices_RAW!F61))</f>
        <v>-2.6639248546585344E-2</v>
      </c>
      <c r="F60">
        <f>IF(OR(Monthly_Prices_RAW!G62="",Monthly_Prices_RAW!G61=""),"",LN(Monthly_Prices_RAW!G62/Monthly_Prices_RAW!G61))</f>
        <v>5.9088161640769559E-3</v>
      </c>
      <c r="G60">
        <f>IF(OR(Monthly_Prices_RAW!H62="",Monthly_Prices_RAW!H61=""),"",LN(Monthly_Prices_RAW!H62/Monthly_Prices_RAW!H61))</f>
        <v>5.3438871430552516E-2</v>
      </c>
      <c r="H60">
        <f>IF(OR(Monthly_Prices_RAW!I62="",Monthly_Prices_RAW!I61=""),"",Monthly_Prices_RAW!I62-Monthly_Prices_RAW!I61)</f>
        <v>-0.89999999999999858</v>
      </c>
    </row>
    <row r="61" spans="1:8" x14ac:dyDescent="0.25">
      <c r="A61" s="1">
        <f>Monthly_Prices_RAW!B62</f>
        <v>42063</v>
      </c>
      <c r="B61">
        <f>IF(OR(Monthly_Prices_RAW!C63="",Monthly_Prices_RAW!C62=""),"",LN(Monthly_Prices_RAW!C63/Monthly_Prices_RAW!C62))</f>
        <v>-0.15046064967841172</v>
      </c>
      <c r="C61">
        <f>IF(OR(Monthly_Prices_RAW!D63="",Monthly_Prices_RAW!D62=""),"",LN(Monthly_Prices_RAW!D63/Monthly_Prices_RAW!D62))</f>
        <v>-0.15831301674194578</v>
      </c>
      <c r="D61">
        <f>IF(OR(Monthly_Prices_RAW!E63="",Monthly_Prices_RAW!E62=""),"",LN(Monthly_Prices_RAW!E63/Monthly_Prices_RAW!E62))</f>
        <v>8.797710703529131E-3</v>
      </c>
      <c r="E61">
        <f>IF(OR(Monthly_Prices_RAW!F63="",Monthly_Prices_RAW!F62=""),"",LN(Monthly_Prices_RAW!F63/Monthly_Prices_RAW!F62))</f>
        <v>-1.6667052485211647E-2</v>
      </c>
      <c r="F61">
        <f>IF(OR(Monthly_Prices_RAW!G63="",Monthly_Prices_RAW!G62=""),"",LN(Monthly_Prices_RAW!G63/Monthly_Prices_RAW!G62))</f>
        <v>-2.6079973095627297E-2</v>
      </c>
      <c r="G61">
        <f>IF(OR(Monthly_Prices_RAW!H63="",Monthly_Prices_RAW!H62=""),"",LN(Monthly_Prices_RAW!H63/Monthly_Prices_RAW!H62))</f>
        <v>-1.7549145486384792E-2</v>
      </c>
      <c r="H61">
        <f>IF(OR(Monthly_Prices_RAW!I63="",Monthly_Prices_RAW!I62=""),"",Monthly_Prices_RAW!I63-Monthly_Prices_RAW!I62)</f>
        <v>-0.89999999999999858</v>
      </c>
    </row>
    <row r="62" spans="1:8" x14ac:dyDescent="0.25">
      <c r="A62" s="1">
        <f>Monthly_Prices_RAW!B63</f>
        <v>42094</v>
      </c>
      <c r="B62">
        <f>IF(OR(Monthly_Prices_RAW!C64="",Monthly_Prices_RAW!C63=""),"",LN(Monthly_Prices_RAW!C64/Monthly_Prices_RAW!C63))</f>
        <v>7.870380019595577E-2</v>
      </c>
      <c r="C62">
        <f>IF(OR(Monthly_Prices_RAW!D64="",Monthly_Prices_RAW!D63=""),"",LN(Monthly_Prices_RAW!D64/Monthly_Prices_RAW!D63))</f>
        <v>5.5027190624979773E-2</v>
      </c>
      <c r="D62">
        <f>IF(OR(Monthly_Prices_RAW!E64="",Monthly_Prices_RAW!E63=""),"",LN(Monthly_Prices_RAW!E64/Monthly_Prices_RAW!E63))</f>
        <v>5.2086775118872379E-2</v>
      </c>
      <c r="E62">
        <f>IF(OR(Monthly_Prices_RAW!F64="",Monthly_Prices_RAW!F63=""),"",LN(Monthly_Prices_RAW!F64/Monthly_Prices_RAW!F63))</f>
        <v>7.5507552508145101E-2</v>
      </c>
      <c r="F62">
        <f>IF(OR(Monthly_Prices_RAW!G64="",Monthly_Prices_RAW!G63=""),"",LN(Monthly_Prices_RAW!G64/Monthly_Prices_RAW!G63))</f>
        <v>3.8426594646271156E-2</v>
      </c>
      <c r="G62">
        <f>IF(OR(Monthly_Prices_RAW!H64="",Monthly_Prices_RAW!H63=""),"",LN(Monthly_Prices_RAW!H64/Monthly_Prices_RAW!H63))</f>
        <v>8.4846659144496416E-3</v>
      </c>
      <c r="H62">
        <f>IF(OR(Monthly_Prices_RAW!I64="",Monthly_Prices_RAW!I63=""),"",Monthly_Prices_RAW!I64-Monthly_Prices_RAW!I63)</f>
        <v>-0.20000000000000284</v>
      </c>
    </row>
    <row r="63" spans="1:8" x14ac:dyDescent="0.25">
      <c r="A63" s="1">
        <f>Monthly_Prices_RAW!B64</f>
        <v>42124</v>
      </c>
      <c r="B63">
        <f>IF(OR(Monthly_Prices_RAW!C65="",Monthly_Prices_RAW!C64=""),"",LN(Monthly_Prices_RAW!C65/Monthly_Prices_RAW!C64))</f>
        <v>-2.3035822559950445E-2</v>
      </c>
      <c r="C63">
        <f>IF(OR(Monthly_Prices_RAW!D65="",Monthly_Prices_RAW!D64=""),"",LN(Monthly_Prices_RAW!D65/Monthly_Prices_RAW!D64))</f>
        <v>5.3794481598600195E-2</v>
      </c>
      <c r="D63">
        <f>IF(OR(Monthly_Prices_RAW!E65="",Monthly_Prices_RAW!E64=""),"",LN(Monthly_Prices_RAW!E65/Monthly_Prices_RAW!E64))</f>
        <v>-5.6475955537635403E-2</v>
      </c>
      <c r="E63">
        <f>IF(OR(Monthly_Prices_RAW!F65="",Monthly_Prices_RAW!F64=""),"",LN(Monthly_Prices_RAW!F65/Monthly_Prices_RAW!F64))</f>
        <v>-0.10104085451330992</v>
      </c>
      <c r="F63">
        <f>IF(OR(Monthly_Prices_RAW!G65="",Monthly_Prices_RAW!G64=""),"",LN(Monthly_Prices_RAW!G65/Monthly_Prices_RAW!G64))</f>
        <v>-3.344363128040978E-2</v>
      </c>
      <c r="G63">
        <f>IF(OR(Monthly_Prices_RAW!H65="",Monthly_Prices_RAW!H64=""),"",LN(Monthly_Prices_RAW!H65/Monthly_Prices_RAW!H64))</f>
        <v>1.0436785331839957E-2</v>
      </c>
      <c r="H63">
        <f>IF(OR(Monthly_Prices_RAW!I65="",Monthly_Prices_RAW!I64=""),"",Monthly_Prices_RAW!I65-Monthly_Prices_RAW!I64)</f>
        <v>1</v>
      </c>
    </row>
    <row r="64" spans="1:8" x14ac:dyDescent="0.25">
      <c r="A64" s="1">
        <f>Monthly_Prices_RAW!B65</f>
        <v>42155</v>
      </c>
      <c r="B64">
        <f>IF(OR(Monthly_Prices_RAW!C66="",Monthly_Prices_RAW!C65=""),"",LN(Monthly_Prices_RAW!C66/Monthly_Prices_RAW!C65))</f>
        <v>-6.0268378526659699E-2</v>
      </c>
      <c r="C64">
        <f>IF(OR(Monthly_Prices_RAW!D66="",Monthly_Prices_RAW!D65=""),"",LN(Monthly_Prices_RAW!D66/Monthly_Prices_RAW!D65))</f>
        <v>6.5253086349224207E-3</v>
      </c>
      <c r="D64">
        <f>IF(OR(Monthly_Prices_RAW!E66="",Monthly_Prices_RAW!E65=""),"",LN(Monthly_Prices_RAW!E66/Monthly_Prices_RAW!E65))</f>
        <v>-3.9059435836586172E-2</v>
      </c>
      <c r="E64">
        <f>IF(OR(Monthly_Prices_RAW!F66="",Monthly_Prices_RAW!F65=""),"",LN(Monthly_Prices_RAW!F66/Monthly_Prices_RAW!F65))</f>
        <v>-2.8565043309994452E-2</v>
      </c>
      <c r="F64">
        <f>IF(OR(Monthly_Prices_RAW!G66="",Monthly_Prices_RAW!G65=""),"",LN(Monthly_Prices_RAW!G66/Monthly_Prices_RAW!G65))</f>
        <v>8.0771674148307267E-3</v>
      </c>
      <c r="G64">
        <f>IF(OR(Monthly_Prices_RAW!H66="",Monthly_Prices_RAW!H65=""),"",LN(Monthly_Prices_RAW!H66/Monthly_Prices_RAW!H65))</f>
        <v>-2.1235661913586588E-2</v>
      </c>
      <c r="H64">
        <f>IF(OR(Monthly_Prices_RAW!I66="",Monthly_Prices_RAW!I65=""),"",Monthly_Prices_RAW!I66-Monthly_Prices_RAW!I65)</f>
        <v>-0.39999999999999858</v>
      </c>
    </row>
    <row r="65" spans="1:8" x14ac:dyDescent="0.25">
      <c r="A65" s="1">
        <f>Monthly_Prices_RAW!B66</f>
        <v>42185</v>
      </c>
      <c r="B65">
        <f>IF(OR(Monthly_Prices_RAW!C67="",Monthly_Prices_RAW!C66=""),"",LN(Monthly_Prices_RAW!C67/Monthly_Prices_RAW!C66))</f>
        <v>-6.4911743220833734E-2</v>
      </c>
      <c r="C65">
        <f>IF(OR(Monthly_Prices_RAW!D67="",Monthly_Prices_RAW!D66=""),"",LN(Monthly_Prices_RAW!D67/Monthly_Prices_RAW!D66))</f>
        <v>-0.11352382629698722</v>
      </c>
      <c r="D65">
        <f>IF(OR(Monthly_Prices_RAW!E67="",Monthly_Prices_RAW!E66=""),"",LN(Monthly_Prices_RAW!E67/Monthly_Prices_RAW!E66))</f>
        <v>-0.10436573289347546</v>
      </c>
      <c r="E65">
        <f>IF(OR(Monthly_Prices_RAW!F67="",Monthly_Prices_RAW!F66=""),"",LN(Monthly_Prices_RAW!F67/Monthly_Prices_RAW!F66))</f>
        <v>-4.4129251280143313E-2</v>
      </c>
      <c r="F65">
        <f>IF(OR(Monthly_Prices_RAW!G67="",Monthly_Prices_RAW!G66=""),"",LN(Monthly_Prices_RAW!G67/Monthly_Prices_RAW!G66))</f>
        <v>-5.3159368280096035E-2</v>
      </c>
      <c r="G65">
        <f>IF(OR(Monthly_Prices_RAW!H67="",Monthly_Prices_RAW!H66=""),"",LN(Monthly_Prices_RAW!H67/Monthly_Prices_RAW!H66))</f>
        <v>1.9549693281665254E-2</v>
      </c>
      <c r="H65">
        <f>IF(OR(Monthly_Prices_RAW!I67="",Monthly_Prices_RAW!I66=""),"",Monthly_Prices_RAW!I67-Monthly_Prices_RAW!I66)</f>
        <v>-0.5</v>
      </c>
    </row>
    <row r="66" spans="1:8" x14ac:dyDescent="0.25">
      <c r="A66" s="1">
        <f>Monthly_Prices_RAW!B67</f>
        <v>42216</v>
      </c>
      <c r="B66">
        <f>IF(OR(Monthly_Prices_RAW!C68="",Monthly_Prices_RAW!C67=""),"",LN(Monthly_Prices_RAW!C68/Monthly_Prices_RAW!C67))</f>
        <v>-2.4089699249429886E-2</v>
      </c>
      <c r="C66">
        <f>IF(OR(Monthly_Prices_RAW!D68="",Monthly_Prices_RAW!D67=""),"",LN(Monthly_Prices_RAW!D68/Monthly_Prices_RAW!D67))</f>
        <v>2.5181186630159634E-2</v>
      </c>
      <c r="D66">
        <f>IF(OR(Monthly_Prices_RAW!E68="",Monthly_Prices_RAW!E67=""),"",LN(Monthly_Prices_RAW!E68/Monthly_Prices_RAW!E67))</f>
        <v>-1.0847708201277286E-2</v>
      </c>
      <c r="E66">
        <f>IF(OR(Monthly_Prices_RAW!F68="",Monthly_Prices_RAW!F67=""),"",LN(Monthly_Prices_RAW!F68/Monthly_Prices_RAW!F67))</f>
        <v>-9.3139450088840729E-3</v>
      </c>
      <c r="F66">
        <f>IF(OR(Monthly_Prices_RAW!G68="",Monthly_Prices_RAW!G67=""),"",LN(Monthly_Prices_RAW!G68/Monthly_Prices_RAW!G67))</f>
        <v>-2.7045542764382102E-2</v>
      </c>
      <c r="G66">
        <f>IF(OR(Monthly_Prices_RAW!H68="",Monthly_Prices_RAW!H67=""),"",LN(Monthly_Prices_RAW!H68/Monthly_Prices_RAW!H67))</f>
        <v>-6.4624716451134656E-2</v>
      </c>
      <c r="H66">
        <f>IF(OR(Monthly_Prices_RAW!I68="",Monthly_Prices_RAW!I67=""),"",Monthly_Prices_RAW!I68-Monthly_Prices_RAW!I67)</f>
        <v>-1.7999999999999972</v>
      </c>
    </row>
    <row r="67" spans="1:8" x14ac:dyDescent="0.25">
      <c r="A67" s="1">
        <f>Monthly_Prices_RAW!B68</f>
        <v>42247</v>
      </c>
      <c r="B67">
        <f>IF(OR(Monthly_Prices_RAW!C69="",Monthly_Prices_RAW!C68=""),"",LN(Monthly_Prices_RAW!C69/Monthly_Prices_RAW!C68))</f>
        <v>-8.2269226316968994E-2</v>
      </c>
      <c r="C67">
        <f>IF(OR(Monthly_Prices_RAW!D69="",Monthly_Prices_RAW!D68=""),"",LN(Monthly_Prices_RAW!D69/Monthly_Prices_RAW!D68))</f>
        <v>1.585936324010764E-2</v>
      </c>
      <c r="D67">
        <f>IF(OR(Monthly_Prices_RAW!E69="",Monthly_Prices_RAW!E68=""),"",LN(Monthly_Prices_RAW!E69/Monthly_Prices_RAW!E68))</f>
        <v>1.282325458897062E-3</v>
      </c>
      <c r="E67">
        <f>IF(OR(Monthly_Prices_RAW!F69="",Monthly_Prices_RAW!F68=""),"",LN(Monthly_Prices_RAW!F69/Monthly_Prices_RAW!F68))</f>
        <v>-1.6352565646514543E-2</v>
      </c>
      <c r="F67">
        <f>IF(OR(Monthly_Prices_RAW!G69="",Monthly_Prices_RAW!G68=""),"",LN(Monthly_Prices_RAW!G69/Monthly_Prices_RAW!G68))</f>
        <v>-1.3445818590354864E-2</v>
      </c>
      <c r="G67">
        <f>IF(OR(Monthly_Prices_RAW!H69="",Monthly_Prices_RAW!H68=""),"",LN(Monthly_Prices_RAW!H69/Monthly_Prices_RAW!H68))</f>
        <v>-2.6798718987715901E-2</v>
      </c>
      <c r="H67">
        <f>IF(OR(Monthly_Prices_RAW!I69="",Monthly_Prices_RAW!I68=""),"",Monthly_Prices_RAW!I69-Monthly_Prices_RAW!I68)</f>
        <v>-0.10000000000000142</v>
      </c>
    </row>
    <row r="68" spans="1:8" x14ac:dyDescent="0.25">
      <c r="A68" s="1">
        <f>Monthly_Prices_RAW!B69</f>
        <v>42277</v>
      </c>
      <c r="B68">
        <f>IF(OR(Monthly_Prices_RAW!C70="",Monthly_Prices_RAW!C69=""),"",LN(Monthly_Prices_RAW!C70/Monthly_Prices_RAW!C69))</f>
        <v>7.653482619412233E-2</v>
      </c>
      <c r="C68">
        <f>IF(OR(Monthly_Prices_RAW!D70="",Monthly_Prices_RAW!D69=""),"",LN(Monthly_Prices_RAW!D70/Monthly_Prices_RAW!D69))</f>
        <v>-0.12260232209233239</v>
      </c>
      <c r="D68">
        <f>IF(OR(Monthly_Prices_RAW!E70="",Monthly_Prices_RAW!E69=""),"",LN(Monthly_Prices_RAW!E70/Monthly_Prices_RAW!E69))</f>
        <v>-1.0089170050900556E-2</v>
      </c>
      <c r="E68">
        <f>IF(OR(Monthly_Prices_RAW!F70="",Monthly_Prices_RAW!F69=""),"",LN(Monthly_Prices_RAW!F70/Monthly_Prices_RAW!F69))</f>
        <v>-6.4496247670506449E-2</v>
      </c>
      <c r="F68">
        <f>IF(OR(Monthly_Prices_RAW!G70="",Monthly_Prices_RAW!G69=""),"",LN(Monthly_Prices_RAW!G70/Monthly_Prices_RAW!G69))</f>
        <v>1.6954347906945159E-2</v>
      </c>
      <c r="G68">
        <f>IF(OR(Monthly_Prices_RAW!H70="",Monthly_Prices_RAW!H69=""),"",LN(Monthly_Prices_RAW!H70/Monthly_Prices_RAW!H69))</f>
        <v>7.9719343140922758E-2</v>
      </c>
      <c r="H68">
        <f>IF(OR(Monthly_Prices_RAW!I70="",Monthly_Prices_RAW!I69=""),"",Monthly_Prices_RAW!I70-Monthly_Prices_RAW!I69)</f>
        <v>-1</v>
      </c>
    </row>
    <row r="69" spans="1:8" x14ac:dyDescent="0.25">
      <c r="A69" s="1">
        <f>Monthly_Prices_RAW!B70</f>
        <v>42308</v>
      </c>
      <c r="B69">
        <f>IF(OR(Monthly_Prices_RAW!C71="",Monthly_Prices_RAW!C70=""),"",LN(Monthly_Prices_RAW!C71/Monthly_Prices_RAW!C70))</f>
        <v>-9.865741264323323E-2</v>
      </c>
      <c r="C69">
        <f>IF(OR(Monthly_Prices_RAW!D71="",Monthly_Prices_RAW!D70=""),"",LN(Monthly_Prices_RAW!D71/Monthly_Prices_RAW!D70))</f>
        <v>-0.15579894128497576</v>
      </c>
      <c r="D69">
        <f>IF(OR(Monthly_Prices_RAW!E71="",Monthly_Prices_RAW!E70=""),"",LN(Monthly_Prices_RAW!E71/Monthly_Prices_RAW!E70))</f>
        <v>-0.12533575763531327</v>
      </c>
      <c r="E69">
        <f>IF(OR(Monthly_Prices_RAW!F71="",Monthly_Prices_RAW!F70=""),"",LN(Monthly_Prices_RAW!F71/Monthly_Prices_RAW!F70))</f>
        <v>-2.2226936573821941E-2</v>
      </c>
      <c r="F69">
        <f>IF(OR(Monthly_Prices_RAW!G71="",Monthly_Prices_RAW!G70=""),"",LN(Monthly_Prices_RAW!G71/Monthly_Prices_RAW!G70))</f>
        <v>1.2391387232875455E-2</v>
      </c>
      <c r="G69">
        <f>IF(OR(Monthly_Prices_RAW!H71="",Monthly_Prices_RAW!H70=""),"",LN(Monthly_Prices_RAW!H71/Monthly_Prices_RAW!H70))</f>
        <v>5.0483561461322503E-4</v>
      </c>
      <c r="H69">
        <f>IF(OR(Monthly_Prices_RAW!I71="",Monthly_Prices_RAW!I70=""),"",Monthly_Prices_RAW!I71-Monthly_Prices_RAW!I70)</f>
        <v>0</v>
      </c>
    </row>
    <row r="70" spans="1:8" x14ac:dyDescent="0.25">
      <c r="A70" s="1">
        <f>Monthly_Prices_RAW!B71</f>
        <v>42338</v>
      </c>
      <c r="B70">
        <f>IF(OR(Monthly_Prices_RAW!C72="",Monthly_Prices_RAW!C71=""),"",LN(Monthly_Prices_RAW!C72/Monthly_Prices_RAW!C71))</f>
        <v>-0.12750394854612535</v>
      </c>
      <c r="C70">
        <f>IF(OR(Monthly_Prices_RAW!D72="",Monthly_Prices_RAW!D71=""),"",LN(Monthly_Prices_RAW!D72/Monthly_Prices_RAW!D71))</f>
        <v>2.3068060979150921E-3</v>
      </c>
      <c r="D70">
        <f>IF(OR(Monthly_Prices_RAW!E72="",Monthly_Prices_RAW!E71=""),"",LN(Monthly_Prices_RAW!E72/Monthly_Prices_RAW!E71))</f>
        <v>4.331338585802804E-2</v>
      </c>
      <c r="E70">
        <f>IF(OR(Monthly_Prices_RAW!F72="",Monthly_Prices_RAW!F71=""),"",LN(Monthly_Prices_RAW!F72/Monthly_Prices_RAW!F71))</f>
        <v>4.1319795907785534E-2</v>
      </c>
      <c r="F70">
        <f>IF(OR(Monthly_Prices_RAW!G72="",Monthly_Prices_RAW!G71=""),"",LN(Monthly_Prices_RAW!G72/Monthly_Prices_RAW!G71))</f>
        <v>8.1306862855279848E-3</v>
      </c>
      <c r="G70">
        <f>IF(OR(Monthly_Prices_RAW!H72="",Monthly_Prices_RAW!H71=""),"",LN(Monthly_Prices_RAW!H72/Monthly_Prices_RAW!H71))</f>
        <v>-1.7685671969978563E-2</v>
      </c>
      <c r="H70">
        <f>IF(OR(Monthly_Prices_RAW!I72="",Monthly_Prices_RAW!I71=""),"",Monthly_Prices_RAW!I72-Monthly_Prices_RAW!I71)</f>
        <v>-0.39999999999999858</v>
      </c>
    </row>
    <row r="71" spans="1:8" x14ac:dyDescent="0.25">
      <c r="A71" s="1">
        <f>Monthly_Prices_RAW!B72</f>
        <v>42369</v>
      </c>
      <c r="B71">
        <f>IF(OR(Monthly_Prices_RAW!C73="",Monthly_Prices_RAW!C72=""),"",LN(Monthly_Prices_RAW!C73/Monthly_Prices_RAW!C72))</f>
        <v>-0.16665055097474935</v>
      </c>
      <c r="C71">
        <f>IF(OR(Monthly_Prices_RAW!D73="",Monthly_Prices_RAW!D72=""),"",LN(Monthly_Prices_RAW!D73/Monthly_Prices_RAW!D72))</f>
        <v>-4.71785602750905E-2</v>
      </c>
      <c r="D71">
        <f>IF(OR(Monthly_Prices_RAW!E73="",Monthly_Prices_RAW!E72=""),"",LN(Monthly_Prices_RAW!E73/Monthly_Prices_RAW!E72))</f>
        <v>-3.2368365980956749E-2</v>
      </c>
      <c r="E71">
        <f>IF(OR(Monthly_Prices_RAW!F73="",Monthly_Prices_RAW!F72=""),"",LN(Monthly_Prices_RAW!F73/Monthly_Prices_RAW!F72))</f>
        <v>7.9313039692773275E-3</v>
      </c>
      <c r="F71">
        <f>IF(OR(Monthly_Prices_RAW!G73="",Monthly_Prices_RAW!G72=""),"",LN(Monthly_Prices_RAW!G73/Monthly_Prices_RAW!G72))</f>
        <v>-2.8115978665784993E-2</v>
      </c>
      <c r="G71">
        <f>IF(OR(Monthly_Prices_RAW!H73="",Monthly_Prices_RAW!H72=""),"",LN(Monthly_Prices_RAW!H73/Monthly_Prices_RAW!H72))</f>
        <v>-5.2067640939352233E-2</v>
      </c>
      <c r="H71">
        <f>IF(OR(Monthly_Prices_RAW!I73="",Monthly_Prices_RAW!I72=""),"",Monthly_Prices_RAW!I73-Monthly_Prices_RAW!I72)</f>
        <v>-1.1000000000000014</v>
      </c>
    </row>
    <row r="72" spans="1:8" x14ac:dyDescent="0.25">
      <c r="A72" s="1">
        <f>Monthly_Prices_RAW!B73</f>
        <v>42400</v>
      </c>
      <c r="B72">
        <f>IF(OR(Monthly_Prices_RAW!C74="",Monthly_Prices_RAW!C73=""),"",LN(Monthly_Prices_RAW!C74/Monthly_Prices_RAW!C73))</f>
        <v>9.7440912143666639E-2</v>
      </c>
      <c r="C72">
        <f>IF(OR(Monthly_Prices_RAW!D74="",Monthly_Prices_RAW!D73=""),"",LN(Monthly_Prices_RAW!D74/Monthly_Prices_RAW!D73))</f>
        <v>0.11401857840094097</v>
      </c>
      <c r="D72">
        <f>IF(OR(Monthly_Prices_RAW!E74="",Monthly_Prices_RAW!E73=""),"",LN(Monthly_Prices_RAW!E74/Monthly_Prices_RAW!E73))</f>
        <v>2.9319225586438846E-2</v>
      </c>
      <c r="E72">
        <f>IF(OR(Monthly_Prices_RAW!F74="",Monthly_Prices_RAW!F73=""),"",LN(Monthly_Prices_RAW!F74/Monthly_Prices_RAW!F73))</f>
        <v>3.4932400462505037E-2</v>
      </c>
      <c r="F72">
        <f>IF(OR(Monthly_Prices_RAW!G74="",Monthly_Prices_RAW!G73=""),"",LN(Monthly_Prices_RAW!G74/Monthly_Prices_RAW!G73))</f>
        <v>8.0141026463856502E-3</v>
      </c>
      <c r="G72">
        <f>IF(OR(Monthly_Prices_RAW!H74="",Monthly_Prices_RAW!H73=""),"",LN(Monthly_Prices_RAW!H74/Monthly_Prices_RAW!H73))</f>
        <v>-4.1369004400577192E-3</v>
      </c>
      <c r="H72">
        <f>IF(OR(Monthly_Prices_RAW!I74="",Monthly_Prices_RAW!I73=""),"",Monthly_Prices_RAW!I74-Monthly_Prices_RAW!I73)</f>
        <v>1.6000000000000014</v>
      </c>
    </row>
    <row r="73" spans="1:8" x14ac:dyDescent="0.25">
      <c r="A73" s="1">
        <f>Monthly_Prices_RAW!B74</f>
        <v>42429</v>
      </c>
      <c r="B73">
        <f>IF(OR(Monthly_Prices_RAW!C75="",Monthly_Prices_RAW!C74=""),"",LN(Monthly_Prices_RAW!C75/Monthly_Prices_RAW!C74))</f>
        <v>7.9864896266655369E-2</v>
      </c>
      <c r="C73">
        <f>IF(OR(Monthly_Prices_RAW!D75="",Monthly_Prices_RAW!D74=""),"",LN(Monthly_Prices_RAW!D75/Monthly_Prices_RAW!D74))</f>
        <v>0.13675893711538914</v>
      </c>
      <c r="D73">
        <f>IF(OR(Monthly_Prices_RAW!E75="",Monthly_Prices_RAW!E74=""),"",LN(Monthly_Prices_RAW!E75/Monthly_Prices_RAW!E74))</f>
        <v>2.5282571281736943E-2</v>
      </c>
      <c r="E73">
        <f>IF(OR(Monthly_Prices_RAW!F75="",Monthly_Prices_RAW!F74=""),"",LN(Monthly_Prices_RAW!F75/Monthly_Prices_RAW!F74))</f>
        <v>-3.4274289217955806E-2</v>
      </c>
      <c r="F73">
        <f>IF(OR(Monthly_Prices_RAW!G75="",Monthly_Prices_RAW!G74=""),"",LN(Monthly_Prices_RAW!G75/Monthly_Prices_RAW!G74))</f>
        <v>6.976743956401367E-2</v>
      </c>
      <c r="G73">
        <f>IF(OR(Monthly_Prices_RAW!H75="",Monthly_Prices_RAW!H74=""),"",LN(Monthly_Prices_RAW!H75/Monthly_Prices_RAW!H74))</f>
        <v>6.3904984919882377E-2</v>
      </c>
      <c r="H73">
        <f>IF(OR(Monthly_Prices_RAW!I75="",Monthly_Prices_RAW!I74=""),"",Monthly_Prices_RAW!I75-Monthly_Prices_RAW!I74)</f>
        <v>1.7999999999999972</v>
      </c>
    </row>
    <row r="74" spans="1:8" x14ac:dyDescent="0.25">
      <c r="A74" s="1">
        <f>Monthly_Prices_RAW!B75</f>
        <v>42460</v>
      </c>
      <c r="B74">
        <f>IF(OR(Monthly_Prices_RAW!C76="",Monthly_Prices_RAW!C75=""),"",LN(Monthly_Prices_RAW!C76/Monthly_Prices_RAW!C75))</f>
        <v>0.17450785787824372</v>
      </c>
      <c r="C74">
        <f>IF(OR(Monthly_Prices_RAW!D76="",Monthly_Prices_RAW!D75=""),"",LN(Monthly_Prices_RAW!D76/Monthly_Prices_RAW!D75))</f>
        <v>0.21256144198367269</v>
      </c>
      <c r="D74">
        <f>IF(OR(Monthly_Prices_RAW!E76="",Monthly_Prices_RAW!E75=""),"",LN(Monthly_Prices_RAW!E76/Monthly_Prices_RAW!E75))</f>
        <v>4.3036672695740269E-2</v>
      </c>
      <c r="E74">
        <f>IF(OR(Monthly_Prices_RAW!F76="",Monthly_Prices_RAW!F75=""),"",LN(Monthly_Prices_RAW!F76/Monthly_Prices_RAW!F75))</f>
        <v>9.948804323721866E-2</v>
      </c>
      <c r="F74">
        <f>IF(OR(Monthly_Prices_RAW!G76="",Monthly_Prices_RAW!G75=""),"",LN(Monthly_Prices_RAW!G76/Monthly_Prices_RAW!G75))</f>
        <v>-7.077355884686865E-3</v>
      </c>
      <c r="G74">
        <f>IF(OR(Monthly_Prices_RAW!H76="",Monthly_Prices_RAW!H75=""),"",LN(Monthly_Prices_RAW!H76/Monthly_Prices_RAW!H75))</f>
        <v>2.6957330678163125E-3</v>
      </c>
      <c r="H74">
        <f>IF(OR(Monthly_Prices_RAW!I76="",Monthly_Prices_RAW!I75=""),"",Monthly_Prices_RAW!I76-Monthly_Prices_RAW!I75)</f>
        <v>0.29999999999999716</v>
      </c>
    </row>
    <row r="75" spans="1:8" x14ac:dyDescent="0.25">
      <c r="A75" s="1">
        <f>Monthly_Prices_RAW!B76</f>
        <v>42490</v>
      </c>
      <c r="B75">
        <f>IF(OR(Monthly_Prices_RAW!C77="",Monthly_Prices_RAW!C76=""),"",LN(Monthly_Prices_RAW!C77/Monthly_Prices_RAW!C76))</f>
        <v>-0.18267672757166256</v>
      </c>
      <c r="C75">
        <f>IF(OR(Monthly_Prices_RAW!D77="",Monthly_Prices_RAW!D76=""),"",LN(Monthly_Prices_RAW!D77/Monthly_Prices_RAW!D76))</f>
        <v>-0.33222594573976166</v>
      </c>
      <c r="D75">
        <f>IF(OR(Monthly_Prices_RAW!E77="",Monthly_Prices_RAW!E76=""),"",LN(Monthly_Prices_RAW!E77/Monthly_Prices_RAW!E76))</f>
        <v>-8.3944561880557989E-2</v>
      </c>
      <c r="E75">
        <f>IF(OR(Monthly_Prices_RAW!F77="",Monthly_Prices_RAW!F76=""),"",LN(Monthly_Prices_RAW!F77/Monthly_Prices_RAW!F76))</f>
        <v>-7.6079952339203907E-2</v>
      </c>
      <c r="F75">
        <f>IF(OR(Monthly_Prices_RAW!G77="",Monthly_Prices_RAW!G76=""),"",LN(Monthly_Prices_RAW!G77/Monthly_Prices_RAW!G76))</f>
        <v>-4.9750772716393304E-2</v>
      </c>
      <c r="G75">
        <f>IF(OR(Monthly_Prices_RAW!H77="",Monthly_Prices_RAW!H76=""),"",LN(Monthly_Prices_RAW!H77/Monthly_Prices_RAW!H76))</f>
        <v>1.5213182557527833E-2</v>
      </c>
      <c r="H75">
        <f>IF(OR(Monthly_Prices_RAW!I77="",Monthly_Prices_RAW!I76=""),"",Monthly_Prices_RAW!I77-Monthly_Prices_RAW!I76)</f>
        <v>0.10000000000000142</v>
      </c>
    </row>
    <row r="76" spans="1:8" x14ac:dyDescent="0.25">
      <c r="A76" s="1">
        <f>Monthly_Prices_RAW!B77</f>
        <v>42521</v>
      </c>
      <c r="B76">
        <f>IF(OR(Monthly_Prices_RAW!C78="",Monthly_Prices_RAW!C77=""),"",LN(Monthly_Prices_RAW!C78/Monthly_Prices_RAW!C77))</f>
        <v>0.10998653078903754</v>
      </c>
      <c r="C76">
        <f>IF(OR(Monthly_Prices_RAW!D78="",Monthly_Prices_RAW!D77=""),"",LN(Monthly_Prices_RAW!D78/Monthly_Prices_RAW!D77))</f>
        <v>0.12715517548524649</v>
      </c>
      <c r="D76">
        <f>IF(OR(Monthly_Prices_RAW!E78="",Monthly_Prices_RAW!E77=""),"",LN(Monthly_Prices_RAW!E78/Monthly_Prices_RAW!E77))</f>
        <v>4.6162041763162409E-2</v>
      </c>
      <c r="E76">
        <f>IF(OR(Monthly_Prices_RAW!F78="",Monthly_Prices_RAW!F77=""),"",LN(Monthly_Prices_RAW!F78/Monthly_Prices_RAW!F77))</f>
        <v>5.8050617821261891E-2</v>
      </c>
      <c r="F76">
        <f>IF(OR(Monthly_Prices_RAW!G78="",Monthly_Prices_RAW!G77=""),"",LN(Monthly_Prices_RAW!G78/Monthly_Prices_RAW!G77))</f>
        <v>2.9556118041684256E-2</v>
      </c>
      <c r="G76">
        <f>IF(OR(Monthly_Prices_RAW!H78="",Monthly_Prices_RAW!H77=""),"",LN(Monthly_Prices_RAW!H78/Monthly_Prices_RAW!H77))</f>
        <v>9.056633172390907E-4</v>
      </c>
      <c r="H76">
        <f>IF(OR(Monthly_Prices_RAW!I78="",Monthly_Prices_RAW!I77=""),"",Monthly_Prices_RAW!I78-Monthly_Prices_RAW!I77)</f>
        <v>0.80000000000000426</v>
      </c>
    </row>
    <row r="77" spans="1:8" x14ac:dyDescent="0.25">
      <c r="A77" s="1">
        <f>Monthly_Prices_RAW!B78</f>
        <v>42551</v>
      </c>
      <c r="B77">
        <f>IF(OR(Monthly_Prices_RAW!C79="",Monthly_Prices_RAW!C78=""),"",LN(Monthly_Prices_RAW!C79/Monthly_Prices_RAW!C78))</f>
        <v>4.7418281032439322E-2</v>
      </c>
      <c r="C77">
        <f>IF(OR(Monthly_Prices_RAW!D79="",Monthly_Prices_RAW!D78=""),"",LN(Monthly_Prices_RAW!D79/Monthly_Prices_RAW!D78))</f>
        <v>8.4053025279690399E-2</v>
      </c>
      <c r="D77">
        <f>IF(OR(Monthly_Prices_RAW!E79="",Monthly_Prices_RAW!E78=""),"",LN(Monthly_Prices_RAW!E79/Monthly_Prices_RAW!E78))</f>
        <v>1.2228413247674442E-2</v>
      </c>
      <c r="E77">
        <f>IF(OR(Monthly_Prices_RAW!F79="",Monthly_Prices_RAW!F78=""),"",LN(Monthly_Prices_RAW!F79/Monthly_Prices_RAW!F78))</f>
        <v>-3.0367469434736658E-3</v>
      </c>
      <c r="F77">
        <f>IF(OR(Monthly_Prices_RAW!G79="",Monthly_Prices_RAW!G78=""),"",LN(Monthly_Prices_RAW!G79/Monthly_Prices_RAW!G78))</f>
        <v>1.9273541378449159E-2</v>
      </c>
      <c r="G77">
        <f>IF(OR(Monthly_Prices_RAW!H79="",Monthly_Prices_RAW!H78=""),"",LN(Monthly_Prices_RAW!H79/Monthly_Prices_RAW!H78))</f>
        <v>3.4990438943766668E-2</v>
      </c>
      <c r="H77">
        <f>IF(OR(Monthly_Prices_RAW!I79="",Monthly_Prices_RAW!I78=""),"",Monthly_Prices_RAW!I79-Monthly_Prices_RAW!I78)</f>
        <v>0.5</v>
      </c>
    </row>
    <row r="78" spans="1:8" x14ac:dyDescent="0.25">
      <c r="A78" s="1">
        <f>Monthly_Prices_RAW!B79</f>
        <v>42582</v>
      </c>
      <c r="B78">
        <f>IF(OR(Monthly_Prices_RAW!C80="",Monthly_Prices_RAW!C79=""),"",LN(Monthly_Prices_RAW!C80/Monthly_Prices_RAW!C79))</f>
        <v>-7.0380083849786668E-2</v>
      </c>
      <c r="C78">
        <f>IF(OR(Monthly_Prices_RAW!D80="",Monthly_Prices_RAW!D79=""),"",LN(Monthly_Prices_RAW!D80/Monthly_Prices_RAW!D79))</f>
        <v>-1.730146963575278E-2</v>
      </c>
      <c r="D78">
        <f>IF(OR(Monthly_Prices_RAW!E80="",Monthly_Prices_RAW!E79=""),"",LN(Monthly_Prices_RAW!E80/Monthly_Prices_RAW!E79))</f>
        <v>-7.0875611187176099E-2</v>
      </c>
      <c r="E78">
        <f>IF(OR(Monthly_Prices_RAW!F80="",Monthly_Prices_RAW!F79=""),"",LN(Monthly_Prices_RAW!F80/Monthly_Prices_RAW!F79))</f>
        <v>-1.8416726786231151E-2</v>
      </c>
      <c r="F78">
        <f>IF(OR(Monthly_Prices_RAW!G80="",Monthly_Prices_RAW!G79=""),"",LN(Monthly_Prices_RAW!G80/Monthly_Prices_RAW!G79))</f>
        <v>-1.0454670754707594E-2</v>
      </c>
      <c r="G78">
        <f>IF(OR(Monthly_Prices_RAW!H80="",Monthly_Prices_RAW!H79=""),"",LN(Monthly_Prices_RAW!H80/Monthly_Prices_RAW!H79))</f>
        <v>-1.2199193604147071E-3</v>
      </c>
      <c r="H78">
        <f>IF(OR(Monthly_Prices_RAW!I80="",Monthly_Prices_RAW!I79=""),"",Monthly_Prices_RAW!I80-Monthly_Prices_RAW!I79)</f>
        <v>-2.9000000000000057</v>
      </c>
    </row>
    <row r="79" spans="1:8" x14ac:dyDescent="0.25">
      <c r="A79" s="1">
        <f>Monthly_Prices_RAW!B80</f>
        <v>42613</v>
      </c>
      <c r="B79">
        <f>IF(OR(Monthly_Prices_RAW!C81="",Monthly_Prices_RAW!C80=""),"",LN(Monthly_Prices_RAW!C81/Monthly_Prices_RAW!C80))</f>
        <v>0.10170621599421482</v>
      </c>
      <c r="C79">
        <f>IF(OR(Monthly_Prices_RAW!D81="",Monthly_Prices_RAW!D80=""),"",LN(Monthly_Prices_RAW!D81/Monthly_Prices_RAW!D80))</f>
        <v>8.1689860724804952E-3</v>
      </c>
      <c r="D79">
        <f>IF(OR(Monthly_Prices_RAW!E81="",Monthly_Prices_RAW!E80=""),"",LN(Monthly_Prices_RAW!E81/Monthly_Prices_RAW!E80))</f>
        <v>6.5911702077510834E-2</v>
      </c>
      <c r="E79">
        <f>IF(OR(Monthly_Prices_RAW!F81="",Monthly_Prices_RAW!F80=""),"",LN(Monthly_Prices_RAW!F81/Monthly_Prices_RAW!F80))</f>
        <v>3.5902852156929857E-2</v>
      </c>
      <c r="F79">
        <f>IF(OR(Monthly_Prices_RAW!G81="",Monthly_Prices_RAW!G80=""),"",LN(Monthly_Prices_RAW!G81/Monthly_Prices_RAW!G80))</f>
        <v>1.9366918473227565E-2</v>
      </c>
      <c r="G79">
        <f>IF(OR(Monthly_Prices_RAW!H81="",Monthly_Prices_RAW!H80=""),"",LN(Monthly_Prices_RAW!H81/Monthly_Prices_RAW!H80))</f>
        <v>-1.2352452011046586E-3</v>
      </c>
      <c r="H79">
        <f>IF(OR(Monthly_Prices_RAW!I81="",Monthly_Prices_RAW!I80=""),"",Monthly_Prices_RAW!I81-Monthly_Prices_RAW!I80)</f>
        <v>1.3000000000000043</v>
      </c>
    </row>
    <row r="80" spans="1:8" x14ac:dyDescent="0.25">
      <c r="A80" s="1">
        <f>Monthly_Prices_RAW!B81</f>
        <v>42643</v>
      </c>
      <c r="B80">
        <f>IF(OR(Monthly_Prices_RAW!C82="",Monthly_Prices_RAW!C81=""),"",LN(Monthly_Prices_RAW!C82/Monthly_Prices_RAW!C81))</f>
        <v>4.2498613692986797E-2</v>
      </c>
      <c r="C80">
        <f>IF(OR(Monthly_Prices_RAW!D82="",Monthly_Prices_RAW!D81=""),"",LN(Monthly_Prices_RAW!D82/Monthly_Prices_RAW!D81))</f>
        <v>7.6775101386482941E-2</v>
      </c>
      <c r="D80">
        <f>IF(OR(Monthly_Prices_RAW!E82="",Monthly_Prices_RAW!E81=""),"",LN(Monthly_Prices_RAW!E82/Monthly_Prices_RAW!E81))</f>
        <v>-2.4912253853516292E-3</v>
      </c>
      <c r="E80">
        <f>IF(OR(Monthly_Prices_RAW!F82="",Monthly_Prices_RAW!F81=""),"",LN(Monthly_Prices_RAW!F82/Monthly_Prices_RAW!F81))</f>
        <v>3.5812456353663209E-2</v>
      </c>
      <c r="F80">
        <f>IF(OR(Monthly_Prices_RAW!G82="",Monthly_Prices_RAW!G81=""),"",LN(Monthly_Prices_RAW!G82/Monthly_Prices_RAW!G81))</f>
        <v>-7.2022834741736113E-3</v>
      </c>
      <c r="G80">
        <f>IF(OR(Monthly_Prices_RAW!H82="",Monthly_Prices_RAW!H81=""),"",LN(Monthly_Prices_RAW!H82/Monthly_Prices_RAW!H81))</f>
        <v>-1.9616782104688858E-2</v>
      </c>
      <c r="H80">
        <f>IF(OR(Monthly_Prices_RAW!I82="",Monthly_Prices_RAW!I81=""),"",Monthly_Prices_RAW!I82-Monthly_Prices_RAW!I81)</f>
        <v>0.69999999999999574</v>
      </c>
    </row>
    <row r="81" spans="1:8" x14ac:dyDescent="0.25">
      <c r="A81" s="1">
        <f>Monthly_Prices_RAW!B82</f>
        <v>42674</v>
      </c>
      <c r="B81">
        <f>IF(OR(Monthly_Prices_RAW!C83="",Monthly_Prices_RAW!C82=""),"",LN(Monthly_Prices_RAW!C83/Monthly_Prices_RAW!C82))</f>
        <v>8.416165997104566E-2</v>
      </c>
      <c r="C81">
        <f>IF(OR(Monthly_Prices_RAW!D83="",Monthly_Prices_RAW!D82=""),"",LN(Monthly_Prices_RAW!D83/Monthly_Prices_RAW!D82))</f>
        <v>0.23797372477762108</v>
      </c>
      <c r="D81">
        <f>IF(OR(Monthly_Prices_RAW!E83="",Monthly_Prices_RAW!E82=""),"",LN(Monthly_Prices_RAW!E83/Monthly_Prices_RAW!E82))</f>
        <v>0.17301916413164109</v>
      </c>
      <c r="E81">
        <f>IF(OR(Monthly_Prices_RAW!F83="",Monthly_Prices_RAW!F82=""),"",LN(Monthly_Prices_RAW!F83/Monthly_Prices_RAW!F82))</f>
        <v>-1.1540682181067506E-3</v>
      </c>
      <c r="F81">
        <f>IF(OR(Monthly_Prices_RAW!G83="",Monthly_Prices_RAW!G82=""),"",LN(Monthly_Prices_RAW!G83/Monthly_Prices_RAW!G82))</f>
        <v>-2.9880841211042508E-2</v>
      </c>
      <c r="G81">
        <f>IF(OR(Monthly_Prices_RAW!H83="",Monthly_Prices_RAW!H82=""),"",LN(Monthly_Prices_RAW!H83/Monthly_Prices_RAW!H82))</f>
        <v>3.3603472465471074E-2</v>
      </c>
      <c r="H81">
        <f>IF(OR(Monthly_Prices_RAW!I83="",Monthly_Prices_RAW!I82=""),"",Monthly_Prices_RAW!I83-Monthly_Prices_RAW!I82)</f>
        <v>1.4000000000000057</v>
      </c>
    </row>
    <row r="82" spans="1:8" x14ac:dyDescent="0.25">
      <c r="A82" s="1">
        <f>Monthly_Prices_RAW!B83</f>
        <v>42704</v>
      </c>
      <c r="B82">
        <f>IF(OR(Monthly_Prices_RAW!C84="",Monthly_Prices_RAW!C83=""),"",LN(Monthly_Prices_RAW!C84/Monthly_Prices_RAW!C83))</f>
        <v>1.4402989045617305E-2</v>
      </c>
      <c r="C82">
        <f>IF(OR(Monthly_Prices_RAW!D84="",Monthly_Prices_RAW!D83=""),"",LN(Monthly_Prices_RAW!D84/Monthly_Prices_RAW!D83))</f>
        <v>-1.3740674204809259E-2</v>
      </c>
      <c r="D82">
        <f>IF(OR(Monthly_Prices_RAW!E84="",Monthly_Prices_RAW!E83=""),"",LN(Monthly_Prices_RAW!E84/Monthly_Prices_RAW!E83))</f>
        <v>-4.5258357612807991E-2</v>
      </c>
      <c r="E82">
        <f>IF(OR(Monthly_Prices_RAW!F84="",Monthly_Prices_RAW!F83=""),"",LN(Monthly_Prices_RAW!F84/Monthly_Prices_RAW!F83))</f>
        <v>-2.2774706989245195E-2</v>
      </c>
      <c r="F82">
        <f>IF(OR(Monthly_Prices_RAW!G84="",Monthly_Prices_RAW!G83=""),"",LN(Monthly_Prices_RAW!G84/Monthly_Prices_RAW!G83))</f>
        <v>-2.4259395677306343E-2</v>
      </c>
      <c r="G82">
        <f>IF(OR(Monthly_Prices_RAW!H84="",Monthly_Prices_RAW!H83=""),"",LN(Monthly_Prices_RAW!H84/Monthly_Prices_RAW!H83))</f>
        <v>1.8037103051757427E-2</v>
      </c>
      <c r="H82">
        <f>IF(OR(Monthly_Prices_RAW!I84="",Monthly_Prices_RAW!I83=""),"",Monthly_Prices_RAW!I84-Monthly_Prices_RAW!I83)</f>
        <v>1.1999999999999957</v>
      </c>
    </row>
    <row r="83" spans="1:8" x14ac:dyDescent="0.25">
      <c r="A83" s="1">
        <f>Monthly_Prices_RAW!B84</f>
        <v>42735</v>
      </c>
      <c r="B83">
        <f>IF(OR(Monthly_Prices_RAW!C85="",Monthly_Prices_RAW!C84=""),"",LN(Monthly_Prices_RAW!C85/Monthly_Prices_RAW!C84))</f>
        <v>0.15236576873127758</v>
      </c>
      <c r="C83">
        <f>IF(OR(Monthly_Prices_RAW!D85="",Monthly_Prices_RAW!D84=""),"",LN(Monthly_Prices_RAW!D85/Monthly_Prices_RAW!D84))</f>
        <v>6.6650048940048098E-2</v>
      </c>
      <c r="D83">
        <f>IF(OR(Monthly_Prices_RAW!E85="",Monthly_Prices_RAW!E84=""),"",LN(Monthly_Prices_RAW!E85/Monthly_Prices_RAW!E84))</f>
        <v>8.4897123307446462E-2</v>
      </c>
      <c r="E83">
        <f>IF(OR(Monthly_Prices_RAW!F85="",Monthly_Prices_RAW!F84=""),"",LN(Monthly_Prices_RAW!F85/Monthly_Prices_RAW!F84))</f>
        <v>7.1784796384986957E-2</v>
      </c>
      <c r="F83">
        <f>IF(OR(Monthly_Prices_RAW!G85="",Monthly_Prices_RAW!G84=""),"",LN(Monthly_Prices_RAW!G85/Monthly_Prices_RAW!G84))</f>
        <v>5.0981092494458827E-2</v>
      </c>
      <c r="G83">
        <f>IF(OR(Monthly_Prices_RAW!H85="",Monthly_Prices_RAW!H84=""),"",LN(Monthly_Prices_RAW!H85/Monthly_Prices_RAW!H84))</f>
        <v>1.772629809300964E-2</v>
      </c>
      <c r="H83">
        <f>IF(OR(Monthly_Prices_RAW!I85="",Monthly_Prices_RAW!I84=""),"",Monthly_Prices_RAW!I85-Monthly_Prices_RAW!I84)</f>
        <v>1.3000000000000043</v>
      </c>
    </row>
    <row r="84" spans="1:8" x14ac:dyDescent="0.25">
      <c r="A84" s="1">
        <f>Monthly_Prices_RAW!B85</f>
        <v>42766</v>
      </c>
      <c r="B84">
        <f>IF(OR(Monthly_Prices_RAW!C86="",Monthly_Prices_RAW!C85=""),"",LN(Monthly_Prices_RAW!C86/Monthly_Prices_RAW!C85))</f>
        <v>-4.7872543142886879E-2</v>
      </c>
      <c r="C84">
        <f>IF(OR(Monthly_Prices_RAW!D86="",Monthly_Prices_RAW!D85=""),"",LN(Monthly_Prices_RAW!D86/Monthly_Prices_RAW!D85))</f>
        <v>0.10264830786756225</v>
      </c>
      <c r="D84">
        <f>IF(OR(Monthly_Prices_RAW!E86="",Monthly_Prices_RAW!E85=""),"",LN(Monthly_Prices_RAW!E86/Monthly_Prices_RAW!E85))</f>
        <v>-8.6532805443712609E-3</v>
      </c>
      <c r="E84">
        <f>IF(OR(Monthly_Prices_RAW!F86="",Monthly_Prices_RAW!F85=""),"",LN(Monthly_Prices_RAW!F86/Monthly_Prices_RAW!F85))</f>
        <v>5.6119452707529473E-2</v>
      </c>
      <c r="F84">
        <f>IF(OR(Monthly_Prices_RAW!G86="",Monthly_Prices_RAW!G85=""),"",LN(Monthly_Prices_RAW!G86/Monthly_Prices_RAW!G85))</f>
        <v>9.4476493304908576E-3</v>
      </c>
      <c r="G84">
        <f>IF(OR(Monthly_Prices_RAW!H86="",Monthly_Prices_RAW!H85=""),"",LN(Monthly_Prices_RAW!H86/Monthly_Prices_RAW!H85))</f>
        <v>3.6523097609435645E-2</v>
      </c>
      <c r="H84">
        <f>IF(OR(Monthly_Prices_RAW!I86="",Monthly_Prices_RAW!I85=""),"",Monthly_Prices_RAW!I86-Monthly_Prices_RAW!I85)</f>
        <v>2</v>
      </c>
    </row>
    <row r="85" spans="1:8" x14ac:dyDescent="0.25">
      <c r="A85" s="1">
        <f>Monthly_Prices_RAW!B86</f>
        <v>42794</v>
      </c>
      <c r="B85">
        <f>IF(OR(Monthly_Prices_RAW!C87="",Monthly_Prices_RAW!C86=""),"",LN(Monthly_Prices_RAW!C87/Monthly_Prices_RAW!C86))</f>
        <v>-2.0437814920044223E-2</v>
      </c>
      <c r="C85">
        <f>IF(OR(Monthly_Prices_RAW!D87="",Monthly_Prices_RAW!D86=""),"",LN(Monthly_Prices_RAW!D87/Monthly_Prices_RAW!D86))</f>
        <v>-0.14212792318124617</v>
      </c>
      <c r="D85">
        <f>IF(OR(Monthly_Prices_RAW!E87="",Monthly_Prices_RAW!E86=""),"",LN(Monthly_Prices_RAW!E87/Monthly_Prices_RAW!E86))</f>
        <v>-1.9229566674716432E-2</v>
      </c>
      <c r="E85">
        <f>IF(OR(Monthly_Prices_RAW!F87="",Monthly_Prices_RAW!F86=""),"",LN(Monthly_Prices_RAW!F87/Monthly_Prices_RAW!F86))</f>
        <v>1.9812818430911611E-2</v>
      </c>
      <c r="F85">
        <f>IF(OR(Monthly_Prices_RAW!G87="",Monthly_Prices_RAW!G86=""),"",LN(Monthly_Prices_RAW!G87/Monthly_Prices_RAW!G86))</f>
        <v>-3.6634870228941492E-3</v>
      </c>
      <c r="G85">
        <f>IF(OR(Monthly_Prices_RAW!H87="",Monthly_Prices_RAW!H86=""),"",LN(Monthly_Prices_RAW!H87/Monthly_Prices_RAW!H86))</f>
        <v>-3.8930594013980509E-4</v>
      </c>
      <c r="H85">
        <f>IF(OR(Monthly_Prices_RAW!I87="",Monthly_Prices_RAW!I86=""),"",Monthly_Prices_RAW!I87-Monthly_Prices_RAW!I86)</f>
        <v>-1.2000000000000028</v>
      </c>
    </row>
    <row r="86" spans="1:8" x14ac:dyDescent="0.25">
      <c r="A86" s="1">
        <f>Monthly_Prices_RAW!B87</f>
        <v>42825</v>
      </c>
      <c r="B86">
        <f>IF(OR(Monthly_Prices_RAW!C88="",Monthly_Prices_RAW!C87=""),"",LN(Monthly_Prices_RAW!C88/Monthly_Prices_RAW!C87))</f>
        <v>-2.1366500226866616E-2</v>
      </c>
      <c r="C86">
        <f>IF(OR(Monthly_Prices_RAW!D88="",Monthly_Prices_RAW!D87=""),"",LN(Monthly_Prices_RAW!D88/Monthly_Prices_RAW!D87))</f>
        <v>-0.2024453926350481</v>
      </c>
      <c r="D86">
        <f>IF(OR(Monthly_Prices_RAW!E88="",Monthly_Prices_RAW!E87=""),"",LN(Monthly_Prices_RAW!E88/Monthly_Prices_RAW!E87))</f>
        <v>-2.1338207203764635E-2</v>
      </c>
      <c r="E86">
        <f>IF(OR(Monthly_Prices_RAW!F88="",Monthly_Prices_RAW!F87=""),"",LN(Monthly_Prices_RAW!F88/Monthly_Prices_RAW!F87))</f>
        <v>-2.6330896520096052E-2</v>
      </c>
      <c r="F86">
        <f>IF(OR(Monthly_Prices_RAW!G88="",Monthly_Prices_RAW!G87=""),"",LN(Monthly_Prices_RAW!G88/Monthly_Prices_RAW!G87))</f>
        <v>-1.8655035932801402E-2</v>
      </c>
      <c r="G86">
        <f>IF(OR(Monthly_Prices_RAW!H88="",Monthly_Prices_RAW!H87=""),"",LN(Monthly_Prices_RAW!H88/Monthly_Prices_RAW!H87))</f>
        <v>9.0501405584374091E-3</v>
      </c>
      <c r="H86">
        <f>IF(OR(Monthly_Prices_RAW!I88="",Monthly_Prices_RAW!I87=""),"",Monthly_Prices_RAW!I88-Monthly_Prices_RAW!I87)</f>
        <v>-0.70000000000000284</v>
      </c>
    </row>
    <row r="87" spans="1:8" x14ac:dyDescent="0.25">
      <c r="A87" s="1">
        <f>Monthly_Prices_RAW!B88</f>
        <v>42855</v>
      </c>
      <c r="B87">
        <f>IF(OR(Monthly_Prices_RAW!C89="",Monthly_Prices_RAW!C88=""),"",LN(Monthly_Prices_RAW!C89/Monthly_Prices_RAW!C88))</f>
        <v>1.2229279548865013E-2</v>
      </c>
      <c r="C87">
        <f>IF(OR(Monthly_Prices_RAW!D89="",Monthly_Prices_RAW!D88=""),"",LN(Monthly_Prices_RAW!D89/Monthly_Prices_RAW!D88))</f>
        <v>-0.1556018926082039</v>
      </c>
      <c r="D87">
        <f>IF(OR(Monthly_Prices_RAW!E89="",Monthly_Prices_RAW!E88=""),"",LN(Monthly_Prices_RAW!E89/Monthly_Prices_RAW!E88))</f>
        <v>-6.3749853687103978E-3</v>
      </c>
      <c r="E87">
        <f>IF(OR(Monthly_Prices_RAW!F89="",Monthly_Prices_RAW!F88=""),"",LN(Monthly_Prices_RAW!F89/Monthly_Prices_RAW!F88))</f>
        <v>8.5949220340235475E-3</v>
      </c>
      <c r="F87">
        <f>IF(OR(Monthly_Prices_RAW!G89="",Monthly_Prices_RAW!G88=""),"",LN(Monthly_Prices_RAW!G89/Monthly_Prices_RAW!G88))</f>
        <v>-7.7758804456232108E-3</v>
      </c>
      <c r="G87">
        <f>IF(OR(Monthly_Prices_RAW!H89="",Monthly_Prices_RAW!H88=""),"",LN(Monthly_Prices_RAW!H89/Monthly_Prices_RAW!H88))</f>
        <v>1.1509718385591177E-2</v>
      </c>
      <c r="H87">
        <f>IF(OR(Monthly_Prices_RAW!I89="",Monthly_Prices_RAW!I88=""),"",Monthly_Prices_RAW!I89-Monthly_Prices_RAW!I88)</f>
        <v>0.60000000000000142</v>
      </c>
    </row>
    <row r="88" spans="1:8" x14ac:dyDescent="0.25">
      <c r="A88" s="1">
        <f>Monthly_Prices_RAW!B89</f>
        <v>42886</v>
      </c>
      <c r="B88">
        <f>IF(OR(Monthly_Prices_RAW!C90="",Monthly_Prices_RAW!C89=""),"",LN(Monthly_Prices_RAW!C90/Monthly_Prices_RAW!C89))</f>
        <v>4.8423984144769651E-2</v>
      </c>
      <c r="C88">
        <f>IF(OR(Monthly_Prices_RAW!D90="",Monthly_Prices_RAW!D89=""),"",LN(Monthly_Prices_RAW!D90/Monthly_Prices_RAW!D89))</f>
        <v>9.4223284890898137E-2</v>
      </c>
      <c r="D88">
        <f>IF(OR(Monthly_Prices_RAW!E90="",Monthly_Prices_RAW!E89=""),"",LN(Monthly_Prices_RAW!E90/Monthly_Prices_RAW!E89))</f>
        <v>4.5091935102341371E-2</v>
      </c>
      <c r="E88">
        <f>IF(OR(Monthly_Prices_RAW!F90="",Monthly_Prices_RAW!F89=""),"",LN(Monthly_Prices_RAW!F90/Monthly_Prices_RAW!F89))</f>
        <v>-4.6789791627909957E-3</v>
      </c>
      <c r="F88">
        <f>IF(OR(Monthly_Prices_RAW!G90="",Monthly_Prices_RAW!G89=""),"",LN(Monthly_Prices_RAW!G90/Monthly_Prices_RAW!G89))</f>
        <v>3.42648773203761E-2</v>
      </c>
      <c r="G88">
        <f>IF(OR(Monthly_Prices_RAW!H90="",Monthly_Prices_RAW!H89=""),"",LN(Monthly_Prices_RAW!H90/Monthly_Prices_RAW!H89))</f>
        <v>4.802282553352028E-3</v>
      </c>
      <c r="H88">
        <f>IF(OR(Monthly_Prices_RAW!I90="",Monthly_Prices_RAW!I89=""),"",Monthly_Prices_RAW!I90-Monthly_Prices_RAW!I89)</f>
        <v>-0.19999999999999574</v>
      </c>
    </row>
    <row r="89" spans="1:8" x14ac:dyDescent="0.25">
      <c r="A89" s="1">
        <f>Monthly_Prices_RAW!B90</f>
        <v>42916</v>
      </c>
      <c r="B89">
        <f>IF(OR(Monthly_Prices_RAW!C91="",Monthly_Prices_RAW!C90=""),"",LN(Monthly_Prices_RAW!C91/Monthly_Prices_RAW!C90))</f>
        <v>0.11317728323486992</v>
      </c>
      <c r="C89">
        <f>IF(OR(Monthly_Prices_RAW!D91="",Monthly_Prices_RAW!D90=""),"",LN(Monthly_Prices_RAW!D91/Monthly_Prices_RAW!D90))</f>
        <v>0.17045682634065712</v>
      </c>
      <c r="D89">
        <f>IF(OR(Monthly_Prices_RAW!E91="",Monthly_Prices_RAW!E90=""),"",LN(Monthly_Prices_RAW!E91/Monthly_Prices_RAW!E90))</f>
        <v>6.8894064580268297E-2</v>
      </c>
      <c r="E89">
        <f>IF(OR(Monthly_Prices_RAW!F91="",Monthly_Prices_RAW!F90=""),"",LN(Monthly_Prices_RAW!F91/Monthly_Prices_RAW!F90))</f>
        <v>-5.21240564316364E-4</v>
      </c>
      <c r="F89">
        <f>IF(OR(Monthly_Prices_RAW!G91="",Monthly_Prices_RAW!G90=""),"",LN(Monthly_Prices_RAW!G91/Monthly_Prices_RAW!G90))</f>
        <v>4.0025735334865309E-2</v>
      </c>
      <c r="G89">
        <f>IF(OR(Monthly_Prices_RAW!H91="",Monthly_Prices_RAW!H90=""),"",LN(Monthly_Prices_RAW!H91/Monthly_Prices_RAW!H90))</f>
        <v>1.9163961513693484E-2</v>
      </c>
      <c r="H89">
        <f>IF(OR(Monthly_Prices_RAW!I91="",Monthly_Prices_RAW!I90=""),"",Monthly_Prices_RAW!I91-Monthly_Prices_RAW!I90)</f>
        <v>0.29999999999999716</v>
      </c>
    </row>
    <row r="90" spans="1:8" x14ac:dyDescent="0.25">
      <c r="A90" s="1">
        <f>Monthly_Prices_RAW!B91</f>
        <v>42947</v>
      </c>
      <c r="B90">
        <f>IF(OR(Monthly_Prices_RAW!C92="",Monthly_Prices_RAW!C91=""),"",LN(Monthly_Prices_RAW!C92/Monthly_Prices_RAW!C91))</f>
        <v>5.9010393159538807E-2</v>
      </c>
      <c r="C90">
        <f>IF(OR(Monthly_Prices_RAW!D92="",Monthly_Prices_RAW!D91=""),"",LN(Monthly_Prices_RAW!D92/Monthly_Prices_RAW!D91))</f>
        <v>7.296344351094719E-2</v>
      </c>
      <c r="D90">
        <f>IF(OR(Monthly_Prices_RAW!E92="",Monthly_Prices_RAW!E91=""),"",LN(Monthly_Prices_RAW!E92/Monthly_Prices_RAW!E91))</f>
        <v>6.2829470326227405E-2</v>
      </c>
      <c r="E90">
        <f>IF(OR(Monthly_Prices_RAW!F92="",Monthly_Prices_RAW!F91=""),"",LN(Monthly_Prices_RAW!F92/Monthly_Prices_RAW!F91))</f>
        <v>9.8717015691481669E-2</v>
      </c>
      <c r="F90">
        <f>IF(OR(Monthly_Prices_RAW!G92="",Monthly_Prices_RAW!G91=""),"",LN(Monthly_Prices_RAW!G92/Monthly_Prices_RAW!G91))</f>
        <v>-7.0219724268668409E-3</v>
      </c>
      <c r="G90">
        <f>IF(OR(Monthly_Prices_RAW!H92="",Monthly_Prices_RAW!H91=""),"",LN(Monthly_Prices_RAW!H92/Monthly_Prices_RAW!H91))</f>
        <v>5.4634305631591474E-4</v>
      </c>
      <c r="H90">
        <f>IF(OR(Monthly_Prices_RAW!I92="",Monthly_Prices_RAW!I91=""),"",Monthly_Prices_RAW!I92-Monthly_Prices_RAW!I91)</f>
        <v>1.8999999999999986</v>
      </c>
    </row>
    <row r="91" spans="1:8" x14ac:dyDescent="0.25">
      <c r="A91" s="1">
        <f>Monthly_Prices_RAW!B92</f>
        <v>42978</v>
      </c>
      <c r="B91">
        <f>IF(OR(Monthly_Prices_RAW!C93="",Monthly_Prices_RAW!C92=""),"",LN(Monthly_Prices_RAW!C93/Monthly_Prices_RAW!C92))</f>
        <v>-3.9268170837493142E-2</v>
      </c>
      <c r="C91">
        <f>IF(OR(Monthly_Prices_RAW!D93="",Monthly_Prices_RAW!D92=""),"",LN(Monthly_Prices_RAW!D93/Monthly_Prices_RAW!D92))</f>
        <v>-0.21226012320956836</v>
      </c>
      <c r="D91">
        <f>IF(OR(Monthly_Prices_RAW!E93="",Monthly_Prices_RAW!E92=""),"",LN(Monthly_Prices_RAW!E93/Monthly_Prices_RAW!E92))</f>
        <v>-4.1106218084301725E-2</v>
      </c>
      <c r="E91">
        <f>IF(OR(Monthly_Prices_RAW!F93="",Monthly_Prices_RAW!F92=""),"",LN(Monthly_Prices_RAW!F93/Monthly_Prices_RAW!F92))</f>
        <v>-7.11071969796868E-3</v>
      </c>
      <c r="F91">
        <f>IF(OR(Monthly_Prices_RAW!G93="",Monthly_Prices_RAW!G92=""),"",LN(Monthly_Prices_RAW!G93/Monthly_Prices_RAW!G92))</f>
        <v>-1.4321263714402789E-2</v>
      </c>
      <c r="G91">
        <f>IF(OR(Monthly_Prices_RAW!H93="",Monthly_Prices_RAW!H92=""),"",LN(Monthly_Prices_RAW!H93/Monthly_Prices_RAW!H92))</f>
        <v>1.9118957203248872E-2</v>
      </c>
      <c r="H91">
        <f>IF(OR(Monthly_Prices_RAW!I93="",Monthly_Prices_RAW!I92=""),"",Monthly_Prices_RAW!I93-Monthly_Prices_RAW!I92)</f>
        <v>1.6000000000000014</v>
      </c>
    </row>
    <row r="92" spans="1:8" x14ac:dyDescent="0.25">
      <c r="A92" s="1">
        <f>Monthly_Prices_RAW!B93</f>
        <v>43008</v>
      </c>
      <c r="B92">
        <f>IF(OR(Monthly_Prices_RAW!C94="",Monthly_Prices_RAW!C93=""),"",LN(Monthly_Prices_RAW!C94/Monthly_Prices_RAW!C93))</f>
        <v>1.5559567903132888E-2</v>
      </c>
      <c r="C92">
        <f>IF(OR(Monthly_Prices_RAW!D94="",Monthly_Prices_RAW!D93=""),"",LN(Monthly_Prices_RAW!D94/Monthly_Prices_RAW!D93))</f>
        <v>-8.5353618013930377E-2</v>
      </c>
      <c r="D92">
        <f>IF(OR(Monthly_Prices_RAW!E94="",Monthly_Prices_RAW!E93=""),"",LN(Monthly_Prices_RAW!E94/Monthly_Prices_RAW!E93))</f>
        <v>4.8225989260250499E-2</v>
      </c>
      <c r="E92">
        <f>IF(OR(Monthly_Prices_RAW!F94="",Monthly_Prices_RAW!F93=""),"",LN(Monthly_Prices_RAW!F94/Monthly_Prices_RAW!F93))</f>
        <v>2.7218949241314315E-2</v>
      </c>
      <c r="F92">
        <f>IF(OR(Monthly_Prices_RAW!G94="",Monthly_Prices_RAW!G93=""),"",LN(Monthly_Prices_RAW!G94/Monthly_Prices_RAW!G93))</f>
        <v>-2.2983581092986486E-2</v>
      </c>
      <c r="G92">
        <f>IF(OR(Monthly_Prices_RAW!H94="",Monthly_Prices_RAW!H93=""),"",LN(Monthly_Prices_RAW!H94/Monthly_Prices_RAW!H93))</f>
        <v>2.1945598878305109E-2</v>
      </c>
      <c r="H92">
        <f>IF(OR(Monthly_Prices_RAW!I94="",Monthly_Prices_RAW!I93=""),"",Monthly_Prices_RAW!I94-Monthly_Prices_RAW!I93)</f>
        <v>-1.3999999999999986</v>
      </c>
    </row>
    <row r="93" spans="1:8" x14ac:dyDescent="0.25">
      <c r="A93" s="1">
        <f>Monthly_Prices_RAW!B94</f>
        <v>43039</v>
      </c>
      <c r="B93">
        <f>IF(OR(Monthly_Prices_RAW!C95="",Monthly_Prices_RAW!C94=""),"",LN(Monthly_Prices_RAW!C95/Monthly_Prices_RAW!C94))</f>
        <v>-6.2723060934499254E-4</v>
      </c>
      <c r="C93">
        <f>IF(OR(Monthly_Prices_RAW!D95="",Monthly_Prices_RAW!D94=""),"",LN(Monthly_Prices_RAW!D95/Monthly_Prices_RAW!D94))</f>
        <v>0.16355506147892909</v>
      </c>
      <c r="D93">
        <f>IF(OR(Monthly_Prices_RAW!E95="",Monthly_Prices_RAW!E94=""),"",LN(Monthly_Prices_RAW!E95/Monthly_Prices_RAW!E94))</f>
        <v>-2.0854454054700235E-2</v>
      </c>
      <c r="E93">
        <f>IF(OR(Monthly_Prices_RAW!F95="",Monthly_Prices_RAW!F94=""),"",LN(Monthly_Prices_RAW!F95/Monthly_Prices_RAW!F94))</f>
        <v>-5.3244514518812243E-2</v>
      </c>
      <c r="F93">
        <f>IF(OR(Monthly_Prices_RAW!G95="",Monthly_Prices_RAW!G94=""),"",LN(Monthly_Prices_RAW!G95/Monthly_Prices_RAW!G94))</f>
        <v>-1.1825127939815498E-2</v>
      </c>
      <c r="G93">
        <f>IF(OR(Monthly_Prices_RAW!H95="",Monthly_Prices_RAW!H94=""),"",LN(Monthly_Prices_RAW!H95/Monthly_Prices_RAW!H94))</f>
        <v>2.7695515330648682E-2</v>
      </c>
      <c r="H93">
        <f>IF(OR(Monthly_Prices_RAW!I95="",Monthly_Prices_RAW!I94=""),"",Monthly_Prices_RAW!I95-Monthly_Prices_RAW!I94)</f>
        <v>-1</v>
      </c>
    </row>
    <row r="94" spans="1:8" x14ac:dyDescent="0.25">
      <c r="A94" s="1">
        <f>Monthly_Prices_RAW!B95</f>
        <v>43069</v>
      </c>
      <c r="B94">
        <f>IF(OR(Monthly_Prices_RAW!C96="",Monthly_Prices_RAW!C95=""),"",LN(Monthly_Prices_RAW!C96/Monthly_Prices_RAW!C95))</f>
        <v>9.9855243162643506E-2</v>
      </c>
      <c r="C94">
        <f>IF(OR(Monthly_Prices_RAW!D96="",Monthly_Prices_RAW!D95=""),"",LN(Monthly_Prices_RAW!D96/Monthly_Prices_RAW!D95))</f>
        <v>2.9390689783803443E-2</v>
      </c>
      <c r="D94">
        <f>IF(OR(Monthly_Prices_RAW!E96="",Monthly_Prices_RAW!E95=""),"",LN(Monthly_Prices_RAW!E96/Monthly_Prices_RAW!E95))</f>
        <v>8.3203786083076728E-2</v>
      </c>
      <c r="E94">
        <f>IF(OR(Monthly_Prices_RAW!F96="",Monthly_Prices_RAW!F95=""),"",LN(Monthly_Prices_RAW!F96/Monthly_Prices_RAW!F95))</f>
        <v>0.10203467868824428</v>
      </c>
      <c r="F94">
        <f>IF(OR(Monthly_Prices_RAW!G96="",Monthly_Prices_RAW!G95=""),"",LN(Monthly_Prices_RAW!G96/Monthly_Prices_RAW!G95))</f>
        <v>3.1612388469700395E-2</v>
      </c>
      <c r="G94">
        <f>IF(OR(Monthly_Prices_RAW!H96="",Monthly_Prices_RAW!H95=""),"",LN(Monthly_Prices_RAW!H96/Monthly_Prices_RAW!H95))</f>
        <v>9.783603904362663E-3</v>
      </c>
      <c r="H94">
        <f>IF(OR(Monthly_Prices_RAW!I96="",Monthly_Prices_RAW!I95=""),"",Monthly_Prices_RAW!I96-Monthly_Prices_RAW!I95)</f>
        <v>2.1000000000000014</v>
      </c>
    </row>
    <row r="95" spans="1:8" x14ac:dyDescent="0.25">
      <c r="A95" s="1">
        <f>Monthly_Prices_RAW!B96</f>
        <v>43100</v>
      </c>
      <c r="B95">
        <f>IF(OR(Monthly_Prices_RAW!C97="",Monthly_Prices_RAW!C96=""),"",LN(Monthly_Prices_RAW!C97/Monthly_Prices_RAW!C96))</f>
        <v>5.8343549866744913E-2</v>
      </c>
      <c r="C95">
        <f>IF(OR(Monthly_Prices_RAW!D97="",Monthly_Prices_RAW!D96=""),"",LN(Monthly_Prices_RAW!D97/Monthly_Prices_RAW!D96))</f>
        <v>1.1658254101531054E-2</v>
      </c>
      <c r="D95">
        <f>IF(OR(Monthly_Prices_RAW!E97="",Monthly_Prices_RAW!E96=""),"",LN(Monthly_Prices_RAW!E97/Monthly_Prices_RAW!E96))</f>
        <v>-3.2330402038489019E-2</v>
      </c>
      <c r="E95">
        <f>IF(OR(Monthly_Prices_RAW!F97="",Monthly_Prices_RAW!F96=""),"",LN(Monthly_Prices_RAW!F97/Monthly_Prices_RAW!F96))</f>
        <v>-2.1616440573552803E-2</v>
      </c>
      <c r="F95">
        <f>IF(OR(Monthly_Prices_RAW!G97="",Monthly_Prices_RAW!G96=""),"",LN(Monthly_Prices_RAW!G97/Monthly_Prices_RAW!G96))</f>
        <v>3.1016101948399603E-2</v>
      </c>
      <c r="G95">
        <f>IF(OR(Monthly_Prices_RAW!H97="",Monthly_Prices_RAW!H96=""),"",LN(Monthly_Prices_RAW!H97/Monthly_Prices_RAW!H96))</f>
        <v>5.4657417787024952E-2</v>
      </c>
      <c r="H95">
        <f>IF(OR(Monthly_Prices_RAW!I97="",Monthly_Prices_RAW!I96=""),"",Monthly_Prices_RAW!I97-Monthly_Prices_RAW!I96)</f>
        <v>-0.30000000000000426</v>
      </c>
    </row>
    <row r="96" spans="1:8" x14ac:dyDescent="0.25">
      <c r="A96" s="1">
        <f>Monthly_Prices_RAW!B97</f>
        <v>43131</v>
      </c>
      <c r="B96">
        <f>IF(OR(Monthly_Prices_RAW!C98="",Monthly_Prices_RAW!C97=""),"",LN(Monthly_Prices_RAW!C98/Monthly_Prices_RAW!C97))</f>
        <v>-2.5267165498512555E-2</v>
      </c>
      <c r="C96">
        <f>IF(OR(Monthly_Prices_RAW!D98="",Monthly_Prices_RAW!D97=""),"",LN(Monthly_Prices_RAW!D98/Monthly_Prices_RAW!D97))</f>
        <v>5.4089270285237023E-2</v>
      </c>
      <c r="D96">
        <f>IF(OR(Monthly_Prices_RAW!E98="",Monthly_Prices_RAW!E97=""),"",LN(Monthly_Prices_RAW!E98/Monthly_Prices_RAW!E97))</f>
        <v>-2.792502570547031E-2</v>
      </c>
      <c r="E96">
        <f>IF(OR(Monthly_Prices_RAW!F98="",Monthly_Prices_RAW!F97=""),"",LN(Monthly_Prices_RAW!F98/Monthly_Prices_RAW!F97))</f>
        <v>-4.0221438988354764E-2</v>
      </c>
      <c r="F96">
        <f>IF(OR(Monthly_Prices_RAW!G98="",Monthly_Prices_RAW!G97=""),"",LN(Monthly_Prices_RAW!G98/Monthly_Prices_RAW!G97))</f>
        <v>-3.7052983682223158E-2</v>
      </c>
      <c r="G96">
        <f>IF(OR(Monthly_Prices_RAW!H98="",Monthly_Prices_RAW!H97=""),"",LN(Monthly_Prices_RAW!H98/Monthly_Prices_RAW!H97))</f>
        <v>-3.9726115635920697E-2</v>
      </c>
      <c r="H96">
        <f>IF(OR(Monthly_Prices_RAW!I98="",Monthly_Prices_RAW!I97=""),"",Monthly_Prices_RAW!I98-Monthly_Prices_RAW!I97)</f>
        <v>1.5</v>
      </c>
    </row>
    <row r="97" spans="1:8" x14ac:dyDescent="0.25">
      <c r="A97" s="1">
        <f>Monthly_Prices_RAW!B98</f>
        <v>43159</v>
      </c>
      <c r="B97">
        <f>IF(OR(Monthly_Prices_RAW!C99="",Monthly_Prices_RAW!C98=""),"",LN(Monthly_Prices_RAW!C99/Monthly_Prices_RAW!C98))</f>
        <v>-2.6049034049166427E-2</v>
      </c>
      <c r="C97">
        <f>IF(OR(Monthly_Prices_RAW!D99="",Monthly_Prices_RAW!D98=""),"",LN(Monthly_Prices_RAW!D99/Monthly_Prices_RAW!D98))</f>
        <v>-0.20644943933870699</v>
      </c>
      <c r="D97">
        <f>IF(OR(Monthly_Prices_RAW!E99="",Monthly_Prices_RAW!E98=""),"",LN(Monthly_Prices_RAW!E99/Monthly_Prices_RAW!E98))</f>
        <v>-2.6742177322489999E-2</v>
      </c>
      <c r="E97">
        <f>IF(OR(Monthly_Prices_RAW!F99="",Monthly_Prices_RAW!F98=""),"",LN(Monthly_Prices_RAW!F99/Monthly_Prices_RAW!F98))</f>
        <v>-6.1665853203173505E-2</v>
      </c>
      <c r="F97">
        <f>IF(OR(Monthly_Prices_RAW!G99="",Monthly_Prices_RAW!G98=""),"",LN(Monthly_Prices_RAW!G99/Monthly_Prices_RAW!G98))</f>
        <v>-1.0750702598308005E-2</v>
      </c>
      <c r="G97">
        <f>IF(OR(Monthly_Prices_RAW!H99="",Monthly_Prices_RAW!H98=""),"",LN(Monthly_Prices_RAW!H99/Monthly_Prices_RAW!H98))</f>
        <v>-2.725251295379243E-2</v>
      </c>
      <c r="H97">
        <f>IF(OR(Monthly_Prices_RAW!I99="",Monthly_Prices_RAW!I98=""),"",Monthly_Prices_RAW!I99-Monthly_Prices_RAW!I98)</f>
        <v>-2.1000000000000014</v>
      </c>
    </row>
    <row r="98" spans="1:8" x14ac:dyDescent="0.25">
      <c r="A98" s="1">
        <f>Monthly_Prices_RAW!B99</f>
        <v>43190</v>
      </c>
      <c r="B98">
        <f>IF(OR(Monthly_Prices_RAW!C100="",Monthly_Prices_RAW!C99=""),"",LN(Monthly_Prices_RAW!C100/Monthly_Prices_RAW!C99))</f>
        <v>6.4259740910270771E-2</v>
      </c>
      <c r="C98">
        <f>IF(OR(Monthly_Prices_RAW!D100="",Monthly_Prices_RAW!D99=""),"",LN(Monthly_Prices_RAW!D100/Monthly_Prices_RAW!D99))</f>
        <v>3.531000261273929E-2</v>
      </c>
      <c r="D98">
        <f>IF(OR(Monthly_Prices_RAW!E100="",Monthly_Prices_RAW!E99=""),"",LN(Monthly_Prices_RAW!E100/Monthly_Prices_RAW!E99))</f>
        <v>8.8845599224834614E-3</v>
      </c>
      <c r="E98">
        <f>IF(OR(Monthly_Prices_RAW!F100="",Monthly_Prices_RAW!F99=""),"",LN(Monthly_Prices_RAW!F100/Monthly_Prices_RAW!F99))</f>
        <v>0.11775531985421699</v>
      </c>
      <c r="F98">
        <f>IF(OR(Monthly_Prices_RAW!G100="",Monthly_Prices_RAW!G99=""),"",LN(Monthly_Prices_RAW!G100/Monthly_Prices_RAW!G99))</f>
        <v>-1.9594288536604304E-2</v>
      </c>
      <c r="G98">
        <f>IF(OR(Monthly_Prices_RAW!H100="",Monthly_Prices_RAW!H99=""),"",LN(Monthly_Prices_RAW!H100/Monthly_Prices_RAW!H99))</f>
        <v>2.7151117471289339E-3</v>
      </c>
      <c r="H98">
        <f>IF(OR(Monthly_Prices_RAW!I100="",Monthly_Prices_RAW!I99=""),"",Monthly_Prices_RAW!I100-Monthly_Prices_RAW!I99)</f>
        <v>-0.19999999999999574</v>
      </c>
    </row>
    <row r="99" spans="1:8" x14ac:dyDescent="0.25">
      <c r="A99" s="1">
        <f>Monthly_Prices_RAW!B100</f>
        <v>43220</v>
      </c>
      <c r="B99">
        <f>IF(OR(Monthly_Prices_RAW!C101="",Monthly_Prices_RAW!C100=""),"",LN(Monthly_Prices_RAW!C101/Monthly_Prices_RAW!C100))</f>
        <v>3.1350374854017878E-2</v>
      </c>
      <c r="C99">
        <f>IF(OR(Monthly_Prices_RAW!D101="",Monthly_Prices_RAW!D100=""),"",LN(Monthly_Prices_RAW!D101/Monthly_Prices_RAW!D100))</f>
        <v>-3.4009823654998911E-2</v>
      </c>
      <c r="D99">
        <f>IF(OR(Monthly_Prices_RAW!E101="",Monthly_Prices_RAW!E100=""),"",LN(Monthly_Prices_RAW!E101/Monthly_Prices_RAW!E100))</f>
        <v>4.0866423854520077E-3</v>
      </c>
      <c r="E99">
        <f>IF(OR(Monthly_Prices_RAW!F101="",Monthly_Prices_RAW!F100=""),"",LN(Monthly_Prices_RAW!F101/Monthly_Prices_RAW!F100))</f>
        <v>1.6274825897851414E-2</v>
      </c>
      <c r="F99">
        <f>IF(OR(Monthly_Prices_RAW!G101="",Monthly_Prices_RAW!G100=""),"",LN(Monthly_Prices_RAW!G101/Monthly_Prices_RAW!G100))</f>
        <v>5.0337899377748945E-3</v>
      </c>
      <c r="G99">
        <f>IF(OR(Monthly_Prices_RAW!H101="",Monthly_Prices_RAW!H100=""),"",LN(Monthly_Prices_RAW!H101/Monthly_Prices_RAW!H100))</f>
        <v>2.1378202402637565E-2</v>
      </c>
      <c r="H99">
        <f>IF(OR(Monthly_Prices_RAW!I101="",Monthly_Prices_RAW!I100=""),"",Monthly_Prices_RAW!I101-Monthly_Prices_RAW!I100)</f>
        <v>0.39999999999999858</v>
      </c>
    </row>
    <row r="100" spans="1:8" x14ac:dyDescent="0.25">
      <c r="A100" s="1">
        <f>Monthly_Prices_RAW!B101</f>
        <v>43251</v>
      </c>
      <c r="B100">
        <f>IF(OR(Monthly_Prices_RAW!C102="",Monthly_Prices_RAW!C101=""),"",LN(Monthly_Prices_RAW!C102/Monthly_Prices_RAW!C101))</f>
        <v>-2.175116410690512E-2</v>
      </c>
      <c r="C100">
        <f>IF(OR(Monthly_Prices_RAW!D102="",Monthly_Prices_RAW!D101=""),"",LN(Monthly_Prices_RAW!D102/Monthly_Prices_RAW!D101))</f>
        <v>-1.8523601518579937E-2</v>
      </c>
      <c r="D100">
        <f>IF(OR(Monthly_Prices_RAW!E102="",Monthly_Prices_RAW!E101=""),"",LN(Monthly_Prices_RAW!E102/Monthly_Prices_RAW!E101))</f>
        <v>-3.7903473427372283E-2</v>
      </c>
      <c r="E100">
        <f>IF(OR(Monthly_Prices_RAW!F102="",Monthly_Prices_RAW!F101=""),"",LN(Monthly_Prices_RAW!F102/Monthly_Prices_RAW!F101))</f>
        <v>-7.1895359363279565E-2</v>
      </c>
      <c r="F100">
        <f>IF(OR(Monthly_Prices_RAW!G102="",Monthly_Prices_RAW!G101=""),"",LN(Monthly_Prices_RAW!G102/Monthly_Prices_RAW!G101))</f>
        <v>-2.1773384029815056E-2</v>
      </c>
      <c r="G100">
        <f>IF(OR(Monthly_Prices_RAW!H102="",Monthly_Prices_RAW!H101=""),"",LN(Monthly_Prices_RAW!H102/Monthly_Prices_RAW!H101))</f>
        <v>4.8307134968018613E-3</v>
      </c>
      <c r="H100">
        <f>IF(OR(Monthly_Prices_RAW!I102="",Monthly_Prices_RAW!I101=""),"",Monthly_Prices_RAW!I102-Monthly_Prices_RAW!I101)</f>
        <v>0.89999999999999858</v>
      </c>
    </row>
    <row r="101" spans="1:8" x14ac:dyDescent="0.25">
      <c r="A101" s="1">
        <f>Monthly_Prices_RAW!B102</f>
        <v>43281</v>
      </c>
      <c r="B101">
        <f>IF(OR(Monthly_Prices_RAW!C103="",Monthly_Prices_RAW!C102=""),"",LN(Monthly_Prices_RAW!C103/Monthly_Prices_RAW!C102))</f>
        <v>3.5996720105811833E-4</v>
      </c>
      <c r="C101">
        <f>IF(OR(Monthly_Prices_RAW!D103="",Monthly_Prices_RAW!D102=""),"",LN(Monthly_Prices_RAW!D103/Monthly_Prices_RAW!D102))</f>
        <v>7.0893051012942002E-3</v>
      </c>
      <c r="D101">
        <f>IF(OR(Monthly_Prices_RAW!E103="",Monthly_Prices_RAW!E102=""),"",LN(Monthly_Prices_RAW!E103/Monthly_Prices_RAW!E102))</f>
        <v>-4.133748938907985E-2</v>
      </c>
      <c r="E101">
        <f>IF(OR(Monthly_Prices_RAW!F103="",Monthly_Prices_RAW!F102=""),"",LN(Monthly_Prices_RAW!F103/Monthly_Prices_RAW!F102))</f>
        <v>-2.4680892077716128E-2</v>
      </c>
      <c r="F101">
        <f>IF(OR(Monthly_Prices_RAW!G103="",Monthly_Prices_RAW!G102=""),"",LN(Monthly_Prices_RAW!G103/Monthly_Prices_RAW!G102))</f>
        <v>2.5625477641373078E-3</v>
      </c>
      <c r="G101">
        <f>IF(OR(Monthly_Prices_RAW!H103="",Monthly_Prices_RAW!H102=""),"",LN(Monthly_Prices_RAW!H103/Monthly_Prices_RAW!H102))</f>
        <v>3.5387979976799259E-2</v>
      </c>
      <c r="H101">
        <f>IF(OR(Monthly_Prices_RAW!I103="",Monthly_Prices_RAW!I102=""),"",Monthly_Prices_RAW!I103-Monthly_Prices_RAW!I102)</f>
        <v>-1.7999999999999972</v>
      </c>
    </row>
    <row r="102" spans="1:8" x14ac:dyDescent="0.25">
      <c r="A102" s="1">
        <f>Monthly_Prices_RAW!B103</f>
        <v>43312</v>
      </c>
      <c r="B102">
        <f>IF(OR(Monthly_Prices_RAW!C104="",Monthly_Prices_RAW!C103=""),"",LN(Monthly_Prices_RAW!C104/Monthly_Prices_RAW!C103))</f>
        <v>-0.11968185020502387</v>
      </c>
      <c r="C102">
        <f>IF(OR(Monthly_Prices_RAW!D104="",Monthly_Prices_RAW!D103=""),"",LN(Monthly_Prices_RAW!D104/Monthly_Prices_RAW!D103))</f>
        <v>1.823263920799504E-2</v>
      </c>
      <c r="D102">
        <f>IF(OR(Monthly_Prices_RAW!E104="",Monthly_Prices_RAW!E103=""),"",LN(Monthly_Prices_RAW!E104/Monthly_Prices_RAW!E103))</f>
        <v>-6.6624396281790024E-2</v>
      </c>
      <c r="E102">
        <f>IF(OR(Monthly_Prices_RAW!F104="",Monthly_Prices_RAW!F103=""),"",LN(Monthly_Prices_RAW!F104/Monthly_Prices_RAW!F103))</f>
        <v>2.0923254964882732E-2</v>
      </c>
      <c r="F102">
        <f>IF(OR(Monthly_Prices_RAW!G104="",Monthly_Prices_RAW!G103=""),"",LN(Monthly_Prices_RAW!G104/Monthly_Prices_RAW!G103))</f>
        <v>-3.216591548216495E-2</v>
      </c>
      <c r="G102">
        <f>IF(OR(Monthly_Prices_RAW!H104="",Monthly_Prices_RAW!H103=""),"",LN(Monthly_Prices_RAW!H104/Monthly_Prices_RAW!H103))</f>
        <v>2.9814321663194848E-2</v>
      </c>
      <c r="H102">
        <f>IF(OR(Monthly_Prices_RAW!I104="",Monthly_Prices_RAW!I103=""),"",Monthly_Prices_RAW!I104-Monthly_Prices_RAW!I103)</f>
        <v>2.3999999999999986</v>
      </c>
    </row>
    <row r="103" spans="1:8" x14ac:dyDescent="0.25">
      <c r="A103" s="1">
        <f>Monthly_Prices_RAW!B104</f>
        <v>43343</v>
      </c>
      <c r="B103">
        <f>IF(OR(Monthly_Prices_RAW!C105="",Monthly_Prices_RAW!C104=""),"",LN(Monthly_Prices_RAW!C105/Monthly_Prices_RAW!C104))</f>
        <v>6.0392392600643503E-2</v>
      </c>
      <c r="C103">
        <f>IF(OR(Monthly_Prices_RAW!D105="",Monthly_Prices_RAW!D104=""),"",LN(Monthly_Prices_RAW!D105/Monthly_Prices_RAW!D104))</f>
        <v>6.5102969001607669E-2</v>
      </c>
      <c r="D103">
        <f>IF(OR(Monthly_Prices_RAW!E105="",Monthly_Prices_RAW!E104=""),"",LN(Monthly_Prices_RAW!E105/Monthly_Prices_RAW!E104))</f>
        <v>5.7221328684727138E-2</v>
      </c>
      <c r="E103">
        <f>IF(OR(Monthly_Prices_RAW!F105="",Monthly_Prices_RAW!F104=""),"",LN(Monthly_Prices_RAW!F105/Monthly_Prices_RAW!F104))</f>
        <v>-3.0095416781611917E-2</v>
      </c>
      <c r="F103">
        <f>IF(OR(Monthly_Prices_RAW!G105="",Monthly_Prices_RAW!G104=""),"",LN(Monthly_Prices_RAW!G105/Monthly_Prices_RAW!G104))</f>
        <v>4.8567361129499744E-3</v>
      </c>
      <c r="G103">
        <f>IF(OR(Monthly_Prices_RAW!H105="",Monthly_Prices_RAW!H104=""),"",LN(Monthly_Prices_RAW!H105/Monthly_Prices_RAW!H104))</f>
        <v>4.2851067203219049E-3</v>
      </c>
      <c r="H103">
        <f>IF(OR(Monthly_Prices_RAW!I105="",Monthly_Prices_RAW!I104=""),"",Monthly_Prices_RAW!I105-Monthly_Prices_RAW!I104)</f>
        <v>-1.2000000000000028</v>
      </c>
    </row>
    <row r="104" spans="1:8" x14ac:dyDescent="0.25">
      <c r="A104" s="1">
        <f>Monthly_Prices_RAW!B105</f>
        <v>43373</v>
      </c>
      <c r="B104">
        <f>IF(OR(Monthly_Prices_RAW!C106="",Monthly_Prices_RAW!C105=""),"",LN(Monthly_Prices_RAW!C106/Monthly_Prices_RAW!C105))</f>
        <v>-3.4496944464492751E-2</v>
      </c>
      <c r="C104">
        <f>IF(OR(Monthly_Prices_RAW!D106="",Monthly_Prices_RAW!D105=""),"",LN(Monthly_Prices_RAW!D106/Monthly_Prices_RAW!D105))</f>
        <v>0.12019849576798711</v>
      </c>
      <c r="D104">
        <f>IF(OR(Monthly_Prices_RAW!E106="",Monthly_Prices_RAW!E105=""),"",LN(Monthly_Prices_RAW!E106/Monthly_Prices_RAW!E105))</f>
        <v>-5.3453426713776946E-2</v>
      </c>
      <c r="E104">
        <f>IF(OR(Monthly_Prices_RAW!F106="",Monthly_Prices_RAW!F105=""),"",LN(Monthly_Prices_RAW!F106/Monthly_Prices_RAW!F105))</f>
        <v>-5.4053750081779948E-2</v>
      </c>
      <c r="F104">
        <f>IF(OR(Monthly_Prices_RAW!G106="",Monthly_Prices_RAW!G105=""),"",LN(Monthly_Prices_RAW!G106/Monthly_Prices_RAW!G105))</f>
        <v>-2.1124098060831438E-2</v>
      </c>
      <c r="G104">
        <f>IF(OR(Monthly_Prices_RAW!H106="",Monthly_Prices_RAW!H105=""),"",LN(Monthly_Prices_RAW!H106/Monthly_Prices_RAW!H105))</f>
        <v>-7.1929349055660202E-2</v>
      </c>
      <c r="H104">
        <f>IF(OR(Monthly_Prices_RAW!I106="",Monthly_Prices_RAW!I105=""),"",Monthly_Prices_RAW!I106-Monthly_Prices_RAW!I105)</f>
        <v>-1.1999999999999957</v>
      </c>
    </row>
    <row r="105" spans="1:8" x14ac:dyDescent="0.25">
      <c r="A105" s="1">
        <f>Monthly_Prices_RAW!B106</f>
        <v>43404</v>
      </c>
      <c r="B105">
        <f>IF(OR(Monthly_Prices_RAW!C107="",Monthly_Prices_RAW!C106=""),"",LN(Monthly_Prices_RAW!C107/Monthly_Prices_RAW!C106))</f>
        <v>-5.2692956541068238E-2</v>
      </c>
      <c r="C105">
        <f>IF(OR(Monthly_Prices_RAW!D107="",Monthly_Prices_RAW!D106=""),"",LN(Monthly_Prices_RAW!D107/Monthly_Prices_RAW!D106))</f>
        <v>-0.14235879741424842</v>
      </c>
      <c r="D105">
        <f>IF(OR(Monthly_Prices_RAW!E107="",Monthly_Prices_RAW!E106=""),"",LN(Monthly_Prices_RAW!E107/Monthly_Prices_RAW!E106))</f>
        <v>4.3601130270765232E-2</v>
      </c>
      <c r="E105">
        <f>IF(OR(Monthly_Prices_RAW!F107="",Monthly_Prices_RAW!F106=""),"",LN(Monthly_Prices_RAW!F107/Monthly_Prices_RAW!F106))</f>
        <v>2.3009085953304342E-3</v>
      </c>
      <c r="F105">
        <f>IF(OR(Monthly_Prices_RAW!G107="",Monthly_Prices_RAW!G106=""),"",LN(Monthly_Prices_RAW!G107/Monthly_Prices_RAW!G106))</f>
        <v>3.2411210319237778E-2</v>
      </c>
      <c r="G105">
        <f>IF(OR(Monthly_Prices_RAW!H107="",Monthly_Prices_RAW!H106=""),"",LN(Monthly_Prices_RAW!H107/Monthly_Prices_RAW!H106))</f>
        <v>1.7701776759294796E-2</v>
      </c>
      <c r="H105">
        <f>IF(OR(Monthly_Prices_RAW!I107="",Monthly_Prices_RAW!I106=""),"",Monthly_Prices_RAW!I107-Monthly_Prices_RAW!I106)</f>
        <v>0.5</v>
      </c>
    </row>
    <row r="106" spans="1:8" x14ac:dyDescent="0.25">
      <c r="A106" s="1">
        <f>Monthly_Prices_RAW!B107</f>
        <v>43434</v>
      </c>
      <c r="B106">
        <f>IF(OR(Monthly_Prices_RAW!C108="",Monthly_Prices_RAW!C107=""),"",LN(Monthly_Prices_RAW!C108/Monthly_Prices_RAW!C107))</f>
        <v>3.6122423808627659E-2</v>
      </c>
      <c r="C106">
        <f>IF(OR(Monthly_Prices_RAW!D108="",Monthly_Prices_RAW!D107=""),"",LN(Monthly_Prices_RAW!D108/Monthly_Prices_RAW!D107))</f>
        <v>8.6831069177949402E-2</v>
      </c>
      <c r="D106">
        <f>IF(OR(Monthly_Prices_RAW!E108="",Monthly_Prices_RAW!E107=""),"",LN(Monthly_Prices_RAW!E108/Monthly_Prices_RAW!E107))</f>
        <v>-5.4187240473492285E-2</v>
      </c>
      <c r="E106">
        <f>IF(OR(Monthly_Prices_RAW!F108="",Monthly_Prices_RAW!F107=""),"",LN(Monthly_Prices_RAW!F108/Monthly_Prices_RAW!F107))</f>
        <v>-5.8902408027658171E-2</v>
      </c>
      <c r="F106">
        <f>IF(OR(Monthly_Prices_RAW!G108="",Monthly_Prices_RAW!G107=""),"",LN(Monthly_Prices_RAW!G108/Monthly_Prices_RAW!G107))</f>
        <v>-3.5810165581352291E-2</v>
      </c>
      <c r="G106">
        <f>IF(OR(Monthly_Prices_RAW!H108="",Monthly_Prices_RAW!H107=""),"",LN(Monthly_Prices_RAW!H108/Monthly_Prices_RAW!H107))</f>
        <v>-9.6265287118076068E-2</v>
      </c>
      <c r="H106">
        <f>IF(OR(Monthly_Prices_RAW!I108="",Monthly_Prices_RAW!I107=""),"",Monthly_Prices_RAW!I108-Monthly_Prices_RAW!I107)</f>
        <v>-3.7000000000000028</v>
      </c>
    </row>
    <row r="107" spans="1:8" x14ac:dyDescent="0.25">
      <c r="A107" s="1">
        <f>Monthly_Prices_RAW!B108</f>
        <v>43465</v>
      </c>
      <c r="B107">
        <f>IF(OR(Monthly_Prices_RAW!C109="",Monthly_Prices_RAW!C108=""),"",LN(Monthly_Prices_RAW!C109/Monthly_Prices_RAW!C108))</f>
        <v>0.14901140898310197</v>
      </c>
      <c r="C107">
        <f>IF(OR(Monthly_Prices_RAW!D109="",Monthly_Prices_RAW!D108=""),"",LN(Monthly_Prices_RAW!D109/Monthly_Prices_RAW!D108))</f>
        <v>0.11611292860194039</v>
      </c>
      <c r="D107">
        <f>IF(OR(Monthly_Prices_RAW!E109="",Monthly_Prices_RAW!E108=""),"",LN(Monthly_Prices_RAW!E109/Monthly_Prices_RAW!E108))</f>
        <v>5.6704321989430484E-2</v>
      </c>
      <c r="E107">
        <f>IF(OR(Monthly_Prices_RAW!F109="",Monthly_Prices_RAW!F108=""),"",LN(Monthly_Prices_RAW!F109/Monthly_Prices_RAW!F108))</f>
        <v>3.4082105977878092E-2</v>
      </c>
      <c r="F107">
        <f>IF(OR(Monthly_Prices_RAW!G109="",Monthly_Prices_RAW!G108=""),"",LN(Monthly_Prices_RAW!G109/Monthly_Prices_RAW!G108))</f>
        <v>3.1283098380665023E-2</v>
      </c>
      <c r="G107">
        <f>IF(OR(Monthly_Prices_RAW!H109="",Monthly_Prices_RAW!H108=""),"",LN(Monthly_Prices_RAW!H109/Monthly_Prices_RAW!H108))</f>
        <v>7.574215482837561E-2</v>
      </c>
      <c r="H107">
        <f>IF(OR(Monthly_Prices_RAW!I109="",Monthly_Prices_RAW!I108=""),"",Monthly_Prices_RAW!I109-Monthly_Prices_RAW!I108)</f>
        <v>0.80000000000000426</v>
      </c>
    </row>
    <row r="108" spans="1:8" x14ac:dyDescent="0.25">
      <c r="A108" s="1">
        <f>Monthly_Prices_RAW!B109</f>
        <v>43496</v>
      </c>
      <c r="B108">
        <f>IF(OR(Monthly_Prices_RAW!C110="",Monthly_Prices_RAW!C109=""),"",LN(Monthly_Prices_RAW!C110/Monthly_Prices_RAW!C109))</f>
        <v>3.3723161447634667E-2</v>
      </c>
      <c r="C108">
        <f>IF(OR(Monthly_Prices_RAW!D110="",Monthly_Prices_RAW!D109=""),"",LN(Monthly_Prices_RAW!D110/Monthly_Prices_RAW!D109))</f>
        <v>2.9092056632087013E-2</v>
      </c>
      <c r="D108">
        <f>IF(OR(Monthly_Prices_RAW!E110="",Monthly_Prices_RAW!E109=""),"",LN(Monthly_Prices_RAW!E110/Monthly_Prices_RAW!E109))</f>
        <v>5.7736846304142199E-2</v>
      </c>
      <c r="E108">
        <f>IF(OR(Monthly_Prices_RAW!F110="",Monthly_Prices_RAW!F109=""),"",LN(Monthly_Prices_RAW!F110/Monthly_Prices_RAW!F109))</f>
        <v>5.234231995974092E-4</v>
      </c>
      <c r="F108">
        <f>IF(OR(Monthly_Prices_RAW!G110="",Monthly_Prices_RAW!G109=""),"",LN(Monthly_Prices_RAW!G110/Monthly_Prices_RAW!G109))</f>
        <v>-2.4919504820973448E-2</v>
      </c>
      <c r="G108">
        <f>IF(OR(Monthly_Prices_RAW!H110="",Monthly_Prices_RAW!H109=""),"",LN(Monthly_Prices_RAW!H110/Monthly_Prices_RAW!H109))</f>
        <v>2.9295592986693514E-2</v>
      </c>
      <c r="H108">
        <f>IF(OR(Monthly_Prices_RAW!I110="",Monthly_Prices_RAW!I109=""),"",Monthly_Prices_RAW!I110-Monthly_Prices_RAW!I109)</f>
        <v>-1.3000000000000043</v>
      </c>
    </row>
    <row r="109" spans="1:8" x14ac:dyDescent="0.25">
      <c r="A109" s="1">
        <f>Monthly_Prices_RAW!B110</f>
        <v>43524</v>
      </c>
      <c r="B109">
        <f>IF(OR(Monthly_Prices_RAW!C111="",Monthly_Prices_RAW!C110=""),"",LN(Monthly_Prices_RAW!C111/Monthly_Prices_RAW!C110))</f>
        <v>8.5540333882897765E-2</v>
      </c>
      <c r="C109">
        <f>IF(OR(Monthly_Prices_RAW!D111="",Monthly_Prices_RAW!D110=""),"",LN(Monthly_Prices_RAW!D111/Monthly_Prices_RAW!D110))</f>
        <v>5.498883532888456E-3</v>
      </c>
      <c r="D109">
        <f>IF(OR(Monthly_Prices_RAW!E111="",Monthly_Prices_RAW!E110=""),"",LN(Monthly_Prices_RAW!E111/Monthly_Prices_RAW!E110))</f>
        <v>-4.7570595994592341E-3</v>
      </c>
      <c r="E109">
        <f>IF(OR(Monthly_Prices_RAW!F111="",Monthly_Prices_RAW!F110=""),"",LN(Monthly_Prices_RAW!F111/Monthly_Prices_RAW!F110))</f>
        <v>5.23149371073524E-4</v>
      </c>
      <c r="F109">
        <f>IF(OR(Monthly_Prices_RAW!G111="",Monthly_Prices_RAW!G110=""),"",LN(Monthly_Prices_RAW!G111/Monthly_Prices_RAW!G110))</f>
        <v>2.8188865584831001E-4</v>
      </c>
      <c r="G109">
        <f>IF(OR(Monthly_Prices_RAW!H111="",Monthly_Prices_RAW!H110=""),"",LN(Monthly_Prices_RAW!H111/Monthly_Prices_RAW!H110))</f>
        <v>1.7765541837019908E-2</v>
      </c>
      <c r="H109">
        <f>IF(OR(Monthly_Prices_RAW!I111="",Monthly_Prices_RAW!I110=""),"",Monthly_Prices_RAW!I111-Monthly_Prices_RAW!I110)</f>
        <v>0.5</v>
      </c>
    </row>
    <row r="110" spans="1:8" x14ac:dyDescent="0.25">
      <c r="A110" s="1">
        <f>Monthly_Prices_RAW!B111</f>
        <v>43555</v>
      </c>
      <c r="B110">
        <f>IF(OR(Monthly_Prices_RAW!C112="",Monthly_Prices_RAW!C111=""),"",LN(Monthly_Prices_RAW!C112/Monthly_Prices_RAW!C111))</f>
        <v>8.5009843807472979E-4</v>
      </c>
      <c r="C110">
        <f>IF(OR(Monthly_Prices_RAW!D112="",Monthly_Prices_RAW!D111=""),"",LN(Monthly_Prices_RAW!D112/Monthly_Prices_RAW!D111))</f>
        <v>6.9772484643429306E-2</v>
      </c>
      <c r="D110">
        <f>IF(OR(Monthly_Prices_RAW!E112="",Monthly_Prices_RAW!E111=""),"",LN(Monthly_Prices_RAW!E112/Monthly_Prices_RAW!E111))</f>
        <v>-1.1820266103743355E-2</v>
      </c>
      <c r="E110">
        <f>IF(OR(Monthly_Prices_RAW!F112="",Monthly_Prices_RAW!F111=""),"",LN(Monthly_Prices_RAW!F112/Monthly_Prices_RAW!F111))</f>
        <v>-6.203120682778758E-2</v>
      </c>
      <c r="F110">
        <f>IF(OR(Monthly_Prices_RAW!G112="",Monthly_Prices_RAW!G111=""),"",LN(Monthly_Prices_RAW!G112/Monthly_Prices_RAW!G111))</f>
        <v>-6.7873563733999885E-3</v>
      </c>
      <c r="G110">
        <f>IF(OR(Monthly_Prices_RAW!H112="",Monthly_Prices_RAW!H111=""),"",LN(Monthly_Prices_RAW!H112/Monthly_Prices_RAW!H111))</f>
        <v>3.8560336443090391E-2</v>
      </c>
      <c r="H110">
        <f>IF(OR(Monthly_Prices_RAW!I112="",Monthly_Prices_RAW!I111=""),"",Monthly_Prices_RAW!I112-Monthly_Prices_RAW!I111)</f>
        <v>-1.2999999999999972</v>
      </c>
    </row>
    <row r="111" spans="1:8" x14ac:dyDescent="0.25">
      <c r="A111" s="1">
        <f>Monthly_Prices_RAW!B112</f>
        <v>43585</v>
      </c>
      <c r="B111">
        <f>IF(OR(Monthly_Prices_RAW!C113="",Monthly_Prices_RAW!C112=""),"",LN(Monthly_Prices_RAW!C113/Monthly_Prices_RAW!C112))</f>
        <v>-1.6605941283405763E-2</v>
      </c>
      <c r="C111">
        <f>IF(OR(Monthly_Prices_RAW!D113="",Monthly_Prices_RAW!D112=""),"",LN(Monthly_Prices_RAW!D113/Monthly_Prices_RAW!D112))</f>
        <v>0.11506438849960839</v>
      </c>
      <c r="D111">
        <f>IF(OR(Monthly_Prices_RAW!E113="",Monthly_Prices_RAW!E112=""),"",LN(Monthly_Prices_RAW!E113/Monthly_Prices_RAW!E112))</f>
        <v>-9.4448927490301079E-2</v>
      </c>
      <c r="E111">
        <f>IF(OR(Monthly_Prices_RAW!F113="",Monthly_Prices_RAW!F112=""),"",LN(Monthly_Prices_RAW!F113/Monthly_Prices_RAW!F112))</f>
        <v>-1.3921761958970405E-3</v>
      </c>
      <c r="F111">
        <f>IF(OR(Monthly_Prices_RAW!G113="",Monthly_Prices_RAW!G112=""),"",LN(Monthly_Prices_RAW!G113/Monthly_Prices_RAW!G112))</f>
        <v>-1.5730340086320467E-2</v>
      </c>
      <c r="G111">
        <f>IF(OR(Monthly_Prices_RAW!H113="",Monthly_Prices_RAW!H112=""),"",LN(Monthly_Prices_RAW!H113/Monthly_Prices_RAW!H112))</f>
        <v>-6.8040888853204307E-2</v>
      </c>
      <c r="H111">
        <f>IF(OR(Monthly_Prices_RAW!I113="",Monthly_Prices_RAW!I112=""),"",Monthly_Prices_RAW!I113-Monthly_Prices_RAW!I112)</f>
        <v>-1</v>
      </c>
    </row>
    <row r="112" spans="1:8" x14ac:dyDescent="0.25">
      <c r="A112" s="1">
        <f>Monthly_Prices_RAW!B113</f>
        <v>43616</v>
      </c>
      <c r="B112">
        <f>IF(OR(Monthly_Prices_RAW!C114="",Monthly_Prices_RAW!C113=""),"",LN(Monthly_Prices_RAW!C114/Monthly_Prices_RAW!C113))</f>
        <v>7.3368129622058686E-2</v>
      </c>
      <c r="C112">
        <f>IF(OR(Monthly_Prices_RAW!D114="",Monthly_Prices_RAW!D113=""),"",LN(Monthly_Prices_RAW!D114/Monthly_Prices_RAW!D113))</f>
        <v>0.13190933225265464</v>
      </c>
      <c r="D112">
        <f>IF(OR(Monthly_Prices_RAW!E114="",Monthly_Prices_RAW!E113=""),"",LN(Monthly_Prices_RAW!E114/Monthly_Prices_RAW!E113))</f>
        <v>2.4507820942428191E-2</v>
      </c>
      <c r="E112">
        <f>IF(OR(Monthly_Prices_RAW!F114="",Monthly_Prices_RAW!F113=""),"",LN(Monthly_Prices_RAW!F114/Monthly_Prices_RAW!F113))</f>
        <v>3.0602332965941701E-3</v>
      </c>
      <c r="F112">
        <f>IF(OR(Monthly_Prices_RAW!G114="",Monthly_Prices_RAW!G113=""),"",LN(Monthly_Prices_RAW!G114/Monthly_Prices_RAW!G113))</f>
        <v>1.1749669490161841E-2</v>
      </c>
      <c r="G112">
        <f>IF(OR(Monthly_Prices_RAW!H114="",Monthly_Prices_RAW!H113=""),"",LN(Monthly_Prices_RAW!H114/Monthly_Prices_RAW!H113))</f>
        <v>6.6658319534241436E-2</v>
      </c>
      <c r="H112">
        <f>IF(OR(Monthly_Prices_RAW!I114="",Monthly_Prices_RAW!I113=""),"",Monthly_Prices_RAW!I114-Monthly_Prices_RAW!I113)</f>
        <v>-1.1000000000000014</v>
      </c>
    </row>
    <row r="113" spans="1:8" x14ac:dyDescent="0.25">
      <c r="A113" s="1">
        <f>Monthly_Prices_RAW!B114</f>
        <v>43646</v>
      </c>
      <c r="B113">
        <f>IF(OR(Monthly_Prices_RAW!C115="",Monthly_Prices_RAW!C114=""),"",LN(Monthly_Prices_RAW!C115/Monthly_Prices_RAW!C114))</f>
        <v>-8.8149495777378073E-2</v>
      </c>
      <c r="C113">
        <f>IF(OR(Monthly_Prices_RAW!D115="",Monthly_Prices_RAW!D114=""),"",LN(Monthly_Prices_RAW!D115/Monthly_Prices_RAW!D114))</f>
        <v>3.8404301527187427E-2</v>
      </c>
      <c r="D113">
        <f>IF(OR(Monthly_Prices_RAW!E115="",Monthly_Prices_RAW!E114=""),"",LN(Monthly_Prices_RAW!E115/Monthly_Prices_RAW!E114))</f>
        <v>-1.4707516344135934E-2</v>
      </c>
      <c r="E113">
        <f>IF(OR(Monthly_Prices_RAW!F115="",Monthly_Prices_RAW!F114=""),"",LN(Monthly_Prices_RAW!F115/Monthly_Prices_RAW!F114))</f>
        <v>-5.5570993372293257E-4</v>
      </c>
      <c r="F113">
        <f>IF(OR(Monthly_Prices_RAW!G115="",Monthly_Prices_RAW!G114=""),"",LN(Monthly_Prices_RAW!G115/Monthly_Prices_RAW!G114))</f>
        <v>-2.5244759297307486E-2</v>
      </c>
      <c r="G113">
        <f>IF(OR(Monthly_Prices_RAW!H115="",Monthly_Prices_RAW!H114=""),"",LN(Monthly_Prices_RAW!H115/Monthly_Prices_RAW!H114))</f>
        <v>1.3042767473010496E-2</v>
      </c>
      <c r="H113">
        <f>IF(OR(Monthly_Prices_RAW!I115="",Monthly_Prices_RAW!I114=""),"",Monthly_Prices_RAW!I115-Monthly_Prices_RAW!I114)</f>
        <v>-0.5</v>
      </c>
    </row>
    <row r="114" spans="1:8" x14ac:dyDescent="0.25">
      <c r="A114" s="1">
        <f>Monthly_Prices_RAW!B115</f>
        <v>43677</v>
      </c>
      <c r="B114">
        <f>IF(OR(Monthly_Prices_RAW!C116="",Monthly_Prices_RAW!C115=""),"",LN(Monthly_Prices_RAW!C116/Monthly_Prices_RAW!C115))</f>
        <v>-7.9894947769573635E-2</v>
      </c>
      <c r="C114">
        <f>IF(OR(Monthly_Prices_RAW!D116="",Monthly_Prices_RAW!D115=""),"",LN(Monthly_Prices_RAW!D116/Monthly_Prices_RAW!D115))</f>
        <v>-0.28788143733289362</v>
      </c>
      <c r="D114">
        <f>IF(OR(Monthly_Prices_RAW!E116="",Monthly_Prices_RAW!E115=""),"",LN(Monthly_Prices_RAW!E116/Monthly_Prices_RAW!E115))</f>
        <v>-5.1174850736978819E-2</v>
      </c>
      <c r="E114">
        <f>IF(OR(Monthly_Prices_RAW!F116="",Monthly_Prices_RAW!F115=""),"",LN(Monthly_Prices_RAW!F116/Monthly_Prices_RAW!F115))</f>
        <v>-2.5902349029298624E-2</v>
      </c>
      <c r="F114">
        <f>IF(OR(Monthly_Prices_RAW!G116="",Monthly_Prices_RAW!G115=""),"",LN(Monthly_Prices_RAW!G116/Monthly_Prices_RAW!G115))</f>
        <v>-1.6497649177268387E-2</v>
      </c>
      <c r="G114">
        <f>IF(OR(Monthly_Prices_RAW!H116="",Monthly_Prices_RAW!H115=""),"",LN(Monthly_Prices_RAW!H116/Monthly_Prices_RAW!H115))</f>
        <v>-1.8257307714875135E-2</v>
      </c>
      <c r="H114">
        <f>IF(OR(Monthly_Prices_RAW!I116="",Monthly_Prices_RAW!I115=""),"",Monthly_Prices_RAW!I116-Monthly_Prices_RAW!I115)</f>
        <v>-2.5</v>
      </c>
    </row>
    <row r="115" spans="1:8" x14ac:dyDescent="0.25">
      <c r="A115" s="1">
        <f>Monthly_Prices_RAW!B116</f>
        <v>43708</v>
      </c>
      <c r="B115">
        <f>IF(OR(Monthly_Prices_RAW!C117="",Monthly_Prices_RAW!C116=""),"",LN(Monthly_Prices_RAW!C117/Monthly_Prices_RAW!C116))</f>
        <v>2.9417448450675007E-2</v>
      </c>
      <c r="C115">
        <f>IF(OR(Monthly_Prices_RAW!D117="",Monthly_Prices_RAW!D116=""),"",LN(Monthly_Prices_RAW!D117/Monthly_Prices_RAW!D116))</f>
        <v>5.7664659658412623E-2</v>
      </c>
      <c r="D115">
        <f>IF(OR(Monthly_Prices_RAW!E117="",Monthly_Prices_RAW!E116=""),"",LN(Monthly_Prices_RAW!E117/Monthly_Prices_RAW!E116))</f>
        <v>1.7803463489338402E-2</v>
      </c>
      <c r="E115">
        <f>IF(OR(Monthly_Prices_RAW!F117="",Monthly_Prices_RAW!F116=""),"",LN(Monthly_Prices_RAW!F117/Monthly_Prices_RAW!F116))</f>
        <v>-1.813260214265603E-2</v>
      </c>
      <c r="F115">
        <f>IF(OR(Monthly_Prices_RAW!G117="",Monthly_Prices_RAW!G116=""),"",LN(Monthly_Prices_RAW!G117/Monthly_Prices_RAW!G116))</f>
        <v>2.5216953212947118E-3</v>
      </c>
      <c r="G115">
        <f>IF(OR(Monthly_Prices_RAW!H117="",Monthly_Prices_RAW!H116=""),"",LN(Monthly_Prices_RAW!H117/Monthly_Prices_RAW!H116))</f>
        <v>1.7035240523677681E-2</v>
      </c>
      <c r="H115">
        <f>IF(OR(Monthly_Prices_RAW!I117="",Monthly_Prices_RAW!I116=""),"",Monthly_Prices_RAW!I117-Monthly_Prices_RAW!I116)</f>
        <v>-0.39999999999999858</v>
      </c>
    </row>
    <row r="116" spans="1:8" x14ac:dyDescent="0.25">
      <c r="A116" s="1">
        <f>Monthly_Prices_RAW!B117</f>
        <v>43738</v>
      </c>
      <c r="B116">
        <f>IF(OR(Monthly_Prices_RAW!C118="",Monthly_Prices_RAW!C117=""),"",LN(Monthly_Prices_RAW!C118/Monthly_Prices_RAW!C117))</f>
        <v>-1.5366099980295032E-3</v>
      </c>
      <c r="C116">
        <f>IF(OR(Monthly_Prices_RAW!D118="",Monthly_Prices_RAW!D117=""),"",LN(Monthly_Prices_RAW!D118/Monthly_Prices_RAW!D117))</f>
        <v>-9.3032714969287694E-2</v>
      </c>
      <c r="D116">
        <f>IF(OR(Monthly_Prices_RAW!E118="",Monthly_Prices_RAW!E117=""),"",LN(Monthly_Prices_RAW!E118/Monthly_Prices_RAW!E117))</f>
        <v>2.2813219786246126E-2</v>
      </c>
      <c r="E116">
        <f>IF(OR(Monthly_Prices_RAW!F118="",Monthly_Prices_RAW!F117=""),"",LN(Monthly_Prices_RAW!F118/Monthly_Prices_RAW!F117))</f>
        <v>1.9272853121387733E-2</v>
      </c>
      <c r="F116">
        <f>IF(OR(Monthly_Prices_RAW!G118="",Monthly_Prices_RAW!G117=""),"",LN(Monthly_Prices_RAW!G118/Monthly_Prices_RAW!G117))</f>
        <v>2.110896321023505E-2</v>
      </c>
      <c r="G116">
        <f>IF(OR(Monthly_Prices_RAW!H118="",Monthly_Prices_RAW!H117=""),"",LN(Monthly_Prices_RAW!H118/Monthly_Prices_RAW!H117))</f>
        <v>2.0225819582931022E-2</v>
      </c>
      <c r="H116">
        <f>IF(OR(Monthly_Prices_RAW!I118="",Monthly_Prices_RAW!I117=""),"",Monthly_Prices_RAW!I118-Monthly_Prices_RAW!I117)</f>
        <v>0</v>
      </c>
    </row>
    <row r="117" spans="1:8" x14ac:dyDescent="0.25">
      <c r="A117" s="1">
        <f>Monthly_Prices_RAW!B118</f>
        <v>43769</v>
      </c>
      <c r="B117">
        <f>IF(OR(Monthly_Prices_RAW!C119="",Monthly_Prices_RAW!C118=""),"",LN(Monthly_Prices_RAW!C119/Monthly_Prices_RAW!C118))</f>
        <v>4.7864471852895552E-2</v>
      </c>
      <c r="C117">
        <f>IF(OR(Monthly_Prices_RAW!D119="",Monthly_Prices_RAW!D118=""),"",LN(Monthly_Prices_RAW!D119/Monthly_Prices_RAW!D118))</f>
        <v>-1.0918693805113651E-2</v>
      </c>
      <c r="D117">
        <f>IF(OR(Monthly_Prices_RAW!E119="",Monthly_Prices_RAW!E118=""),"",LN(Monthly_Prices_RAW!E119/Monthly_Prices_RAW!E118))</f>
        <v>1.515151805010664E-3</v>
      </c>
      <c r="E117">
        <f>IF(OR(Monthly_Prices_RAW!F119="",Monthly_Prices_RAW!F118=""),"",LN(Monthly_Prices_RAW!F119/Monthly_Prices_RAW!F118))</f>
        <v>8.5106896679086105E-3</v>
      </c>
      <c r="F117">
        <f>IF(OR(Monthly_Prices_RAW!G119="",Monthly_Prices_RAW!G118=""),"",LN(Monthly_Prices_RAW!G119/Monthly_Prices_RAW!G118))</f>
        <v>-1.9184889501870684E-2</v>
      </c>
      <c r="G117">
        <f>IF(OR(Monthly_Prices_RAW!H119="",Monthly_Prices_RAW!H118=""),"",LN(Monthly_Prices_RAW!H119/Monthly_Prices_RAW!H118))</f>
        <v>3.3480291579323126E-2</v>
      </c>
      <c r="H117">
        <f>IF(OR(Monthly_Prices_RAW!I119="",Monthly_Prices_RAW!I118=""),"",Monthly_Prices_RAW!I119-Monthly_Prices_RAW!I118)</f>
        <v>0</v>
      </c>
    </row>
    <row r="118" spans="1:8" x14ac:dyDescent="0.25">
      <c r="A118" s="1">
        <f>Monthly_Prices_RAW!B119</f>
        <v>43799</v>
      </c>
      <c r="B118">
        <f>IF(OR(Monthly_Prices_RAW!C120="",Monthly_Prices_RAW!C119=""),"",LN(Monthly_Prices_RAW!C120/Monthly_Prices_RAW!C119))</f>
        <v>8.4319080110715247E-2</v>
      </c>
      <c r="C118">
        <f>IF(OR(Monthly_Prices_RAW!D120="",Monthly_Prices_RAW!D119=""),"",LN(Monthly_Prices_RAW!D120/Monthly_Prices_RAW!D119))</f>
        <v>2.5565390698315354E-2</v>
      </c>
      <c r="D118">
        <f>IF(OR(Monthly_Prices_RAW!E120="",Monthly_Prices_RAW!E119=""),"",LN(Monthly_Prices_RAW!E120/Monthly_Prices_RAW!E119))</f>
        <v>5.7011208119689114E-2</v>
      </c>
      <c r="E118">
        <f>IF(OR(Monthly_Prices_RAW!F120="",Monthly_Prices_RAW!F119=""),"",LN(Monthly_Prices_RAW!F120/Monthly_Prices_RAW!F119))</f>
        <v>2.2347298691996618E-2</v>
      </c>
      <c r="F118">
        <f>IF(OR(Monthly_Prices_RAW!G120="",Monthly_Prices_RAW!G119=""),"",LN(Monthly_Prices_RAW!G120/Monthly_Prices_RAW!G119))</f>
        <v>3.7439079442308759E-2</v>
      </c>
      <c r="G118">
        <f>IF(OR(Monthly_Prices_RAW!H120="",Monthly_Prices_RAW!H119=""),"",LN(Monthly_Prices_RAW!H120/Monthly_Prices_RAW!H119))</f>
        <v>2.818874101228944E-2</v>
      </c>
      <c r="H118">
        <f>IF(OR(Monthly_Prices_RAW!I120="",Monthly_Prices_RAW!I119=""),"",Monthly_Prices_RAW!I120-Monthly_Prices_RAW!I119)</f>
        <v>-0.20000000000000284</v>
      </c>
    </row>
    <row r="119" spans="1:8" x14ac:dyDescent="0.25">
      <c r="A119" s="1">
        <f>Monthly_Prices_RAW!B120</f>
        <v>43830</v>
      </c>
      <c r="B119">
        <f>IF(OR(Monthly_Prices_RAW!C121="",Monthly_Prices_RAW!C120=""),"",LN(Monthly_Prices_RAW!C121/Monthly_Prices_RAW!C120))</f>
        <v>-0.105248033360082</v>
      </c>
      <c r="C119">
        <f>IF(OR(Monthly_Prices_RAW!D121="",Monthly_Prices_RAW!D120=""),"",LN(Monthly_Prices_RAW!D121/Monthly_Prices_RAW!D120))</f>
        <v>3.8003089696100584E-2</v>
      </c>
      <c r="D119">
        <f>IF(OR(Monthly_Prices_RAW!E121="",Monthly_Prices_RAW!E120=""),"",LN(Monthly_Prices_RAW!E121/Monthly_Prices_RAW!E120))</f>
        <v>-0.10547969806664387</v>
      </c>
      <c r="E119">
        <f>IF(OR(Monthly_Prices_RAW!F121="",Monthly_Prices_RAW!F120=""),"",LN(Monthly_Prices_RAW!F121/Monthly_Prices_RAW!F120))</f>
        <v>-4.984043927219528E-2</v>
      </c>
      <c r="F119">
        <f>IF(OR(Monthly_Prices_RAW!G121="",Monthly_Prices_RAW!G120=""),"",LN(Monthly_Prices_RAW!G121/Monthly_Prices_RAW!G120))</f>
        <v>-4.7992874910534139E-2</v>
      </c>
      <c r="G119">
        <f>IF(OR(Monthly_Prices_RAW!H121="",Monthly_Prices_RAW!H120=""),"",LN(Monthly_Prices_RAW!H121/Monthly_Prices_RAW!H120))</f>
        <v>-1.6294165896177356E-3</v>
      </c>
      <c r="H119">
        <f>IF(OR(Monthly_Prices_RAW!I121="",Monthly_Prices_RAW!I120=""),"",Monthly_Prices_RAW!I121-Monthly_Prices_RAW!I120)</f>
        <v>3.5</v>
      </c>
    </row>
    <row r="120" spans="1:8" x14ac:dyDescent="0.25">
      <c r="A120" s="1">
        <f>Monthly_Prices_RAW!B121</f>
        <v>43861</v>
      </c>
      <c r="B120">
        <f>IF(OR(Monthly_Prices_RAW!C122="",Monthly_Prices_RAW!C121=""),"",LN(Monthly_Prices_RAW!C122/Monthly_Prices_RAW!C121))</f>
        <v>-0.12971561289544456</v>
      </c>
      <c r="C120">
        <f>IF(OR(Monthly_Prices_RAW!D122="",Monthly_Prices_RAW!D121=""),"",LN(Monthly_Prices_RAW!D122/Monthly_Prices_RAW!D121))</f>
        <v>-0.10872563380813983</v>
      </c>
      <c r="D120">
        <f>IF(OR(Monthly_Prices_RAW!E122="",Monthly_Prices_RAW!E121=""),"",LN(Monthly_Prices_RAW!E122/Monthly_Prices_RAW!E121))</f>
        <v>1.1455783982035915E-2</v>
      </c>
      <c r="E120">
        <f>IF(OR(Monthly_Prices_RAW!F122="",Monthly_Prices_RAW!F121=""),"",LN(Monthly_Prices_RAW!F122/Monthly_Prices_RAW!F121))</f>
        <v>-1.6098693940570119E-2</v>
      </c>
      <c r="F120">
        <f>IF(OR(Monthly_Prices_RAW!G122="",Monthly_Prices_RAW!G121=""),"",LN(Monthly_Prices_RAW!G122/Monthly_Prices_RAW!G121))</f>
        <v>-2.6805572547769215E-2</v>
      </c>
      <c r="G120">
        <f>IF(OR(Monthly_Prices_RAW!H122="",Monthly_Prices_RAW!H121=""),"",LN(Monthly_Prices_RAW!H122/Monthly_Prices_RAW!H121))</f>
        <v>-8.7859520936204846E-2</v>
      </c>
      <c r="H120">
        <f>IF(OR(Monthly_Prices_RAW!I122="",Monthly_Prices_RAW!I121=""),"",Monthly_Prices_RAW!I122-Monthly_Prices_RAW!I121)</f>
        <v>-1.2999999999999972</v>
      </c>
    </row>
    <row r="121" spans="1:8" x14ac:dyDescent="0.25">
      <c r="A121" s="1">
        <f>Monthly_Prices_RAW!B122</f>
        <v>43890</v>
      </c>
      <c r="B121">
        <f>IF(OR(Monthly_Prices_RAW!C123="",Monthly_Prices_RAW!C122=""),"",LN(Monthly_Prices_RAW!C123/Monthly_Prices_RAW!C122))</f>
        <v>1.9205484251916552E-2</v>
      </c>
      <c r="C121">
        <f>IF(OR(Monthly_Prices_RAW!D123="",Monthly_Prices_RAW!D122=""),"",LN(Monthly_Prices_RAW!D123/Monthly_Prices_RAW!D122))</f>
        <v>6.8429504969044581E-3</v>
      </c>
      <c r="D121">
        <f>IF(OR(Monthly_Prices_RAW!E123="",Monthly_Prices_RAW!E122=""),"",LN(Monthly_Prices_RAW!E123/Monthly_Prices_RAW!E122))</f>
        <v>-0.13341917807017714</v>
      </c>
      <c r="E121">
        <f>IF(OR(Monthly_Prices_RAW!F123="",Monthly_Prices_RAW!F122=""),"",LN(Monthly_Prices_RAW!F123/Monthly_Prices_RAW!F122))</f>
        <v>-0.10473777920270376</v>
      </c>
      <c r="F121">
        <f>IF(OR(Monthly_Prices_RAW!G123="",Monthly_Prices_RAW!G122=""),"",LN(Monthly_Prices_RAW!G123/Monthly_Prices_RAW!G122))</f>
        <v>-6.07493417962576E-2</v>
      </c>
      <c r="G121">
        <f>IF(OR(Monthly_Prices_RAW!H123="",Monthly_Prices_RAW!H122=""),"",LN(Monthly_Prices_RAW!H123/Monthly_Prices_RAW!H122))</f>
        <v>-0.13366776859296695</v>
      </c>
      <c r="H121">
        <f>IF(OR(Monthly_Prices_RAW!I123="",Monthly_Prices_RAW!I122=""),"",Monthly_Prices_RAW!I123-Monthly_Prices_RAW!I122)</f>
        <v>-1.1000000000000014</v>
      </c>
    </row>
    <row r="122" spans="1:8" x14ac:dyDescent="0.25">
      <c r="A122" s="1">
        <f>Monthly_Prices_RAW!B123</f>
        <v>43921</v>
      </c>
      <c r="B122">
        <f>IF(OR(Monthly_Prices_RAW!C124="",Monthly_Prices_RAW!C123=""),"",LN(Monthly_Prices_RAW!C124/Monthly_Prices_RAW!C123))</f>
        <v>1.3732549955836696E-2</v>
      </c>
      <c r="C122">
        <f>IF(OR(Monthly_Prices_RAW!D124="",Monthly_Prices_RAW!D123=""),"",LN(Monthly_Prices_RAW!D124/Monthly_Prices_RAW!D123))</f>
        <v>2.3406497162034731E-2</v>
      </c>
      <c r="D122">
        <f>IF(OR(Monthly_Prices_RAW!E124="",Monthly_Prices_RAW!E123=""),"",LN(Monthly_Prices_RAW!E124/Monthly_Prices_RAW!E123))</f>
        <v>5.501168677304745E-2</v>
      </c>
      <c r="E122">
        <f>IF(OR(Monthly_Prices_RAW!F124="",Monthly_Prices_RAW!F123=""),"",LN(Monthly_Prices_RAW!F124/Monthly_Prices_RAW!F123))</f>
        <v>-2.0858230120409809E-2</v>
      </c>
      <c r="F122">
        <f>IF(OR(Monthly_Prices_RAW!G124="",Monthly_Prices_RAW!G123=""),"",LN(Monthly_Prices_RAW!G124/Monthly_Prices_RAW!G123))</f>
        <v>6.028875991968833E-2</v>
      </c>
      <c r="G122">
        <f>IF(OR(Monthly_Prices_RAW!H124="",Monthly_Prices_RAW!H123=""),"",LN(Monthly_Prices_RAW!H124/Monthly_Prices_RAW!H123))</f>
        <v>0.11942089623740584</v>
      </c>
      <c r="H122">
        <f>IF(OR(Monthly_Prices_RAW!I124="",Monthly_Prices_RAW!I123=""),"",Monthly_Prices_RAW!I124-Monthly_Prices_RAW!I123)</f>
        <v>-7.2000000000000028</v>
      </c>
    </row>
    <row r="123" spans="1:8" x14ac:dyDescent="0.25">
      <c r="A123" s="1">
        <f>Monthly_Prices_RAW!B124</f>
        <v>43951</v>
      </c>
      <c r="B123">
        <f>IF(OR(Monthly_Prices_RAW!C125="",Monthly_Prices_RAW!C124=""),"",LN(Monthly_Prices_RAW!C125/Monthly_Prices_RAW!C124))</f>
        <v>0.15473861068174258</v>
      </c>
      <c r="C123">
        <f>IF(OR(Monthly_Prices_RAW!D125="",Monthly_Prices_RAW!D124=""),"",LN(Monthly_Prices_RAW!D125/Monthly_Prices_RAW!D124))</f>
        <v>0.13570925192453551</v>
      </c>
      <c r="D123">
        <f>IF(OR(Monthly_Prices_RAW!E125="",Monthly_Prices_RAW!E124=""),"",LN(Monthly_Prices_RAW!E125/Monthly_Prices_RAW!E124))</f>
        <v>2.992167986504923E-2</v>
      </c>
      <c r="E123">
        <f>IF(OR(Monthly_Prices_RAW!F125="",Monthly_Prices_RAW!F124=""),"",LN(Monthly_Prices_RAW!F125/Monthly_Prices_RAW!F124))</f>
        <v>3.5172072425679914E-2</v>
      </c>
      <c r="F123">
        <f>IF(OR(Monthly_Prices_RAW!G125="",Monthly_Prices_RAW!G124=""),"",LN(Monthly_Prices_RAW!G125/Monthly_Prices_RAW!G124))</f>
        <v>2.3523354935683655E-2</v>
      </c>
      <c r="G123">
        <f>IF(OR(Monthly_Prices_RAW!H125="",Monthly_Prices_RAW!H124=""),"",LN(Monthly_Prices_RAW!H125/Monthly_Prices_RAW!H124))</f>
        <v>4.4286490230530599E-2</v>
      </c>
      <c r="H123">
        <f>IF(OR(Monthly_Prices_RAW!I125="",Monthly_Prices_RAW!I124=""),"",Monthly_Prices_RAW!I125-Monthly_Prices_RAW!I124)</f>
        <v>1.7000000000000028</v>
      </c>
    </row>
    <row r="124" spans="1:8" x14ac:dyDescent="0.25">
      <c r="A124" s="1">
        <f>Monthly_Prices_RAW!B125</f>
        <v>43982</v>
      </c>
      <c r="B124">
        <f>IF(OR(Monthly_Prices_RAW!C126="",Monthly_Prices_RAW!C125=""),"",LN(Monthly_Prices_RAW!C126/Monthly_Prices_RAW!C125))</f>
        <v>4.1059269735042529E-2</v>
      </c>
      <c r="C124">
        <f>IF(OR(Monthly_Prices_RAW!D126="",Monthly_Prices_RAW!D125=""),"",LN(Monthly_Prices_RAW!D126/Monthly_Prices_RAW!D125))</f>
        <v>3.5834960623300438E-2</v>
      </c>
      <c r="D124">
        <f>IF(OR(Monthly_Prices_RAW!E126="",Monthly_Prices_RAW!E125=""),"",LN(Monthly_Prices_RAW!E126/Monthly_Prices_RAW!E125))</f>
        <v>0.11220162581818835</v>
      </c>
      <c r="E124">
        <f>IF(OR(Monthly_Prices_RAW!F126="",Monthly_Prices_RAW!F125=""),"",LN(Monthly_Prices_RAW!F126/Monthly_Prices_RAW!F125))</f>
        <v>4.5153684461711502E-2</v>
      </c>
      <c r="F124">
        <f>IF(OR(Monthly_Prices_RAW!G126="",Monthly_Prices_RAW!G125=""),"",LN(Monthly_Prices_RAW!G126/Monthly_Prices_RAW!G125))</f>
        <v>3.4786116085415604E-2</v>
      </c>
      <c r="G124">
        <f>IF(OR(Monthly_Prices_RAW!H126="",Monthly_Prices_RAW!H125=""),"",LN(Monthly_Prices_RAW!H126/Monthly_Prices_RAW!H125))</f>
        <v>1.8221381004063585E-2</v>
      </c>
      <c r="H124">
        <f>IF(OR(Monthly_Prices_RAW!I126="",Monthly_Prices_RAW!I125=""),"",Monthly_Prices_RAW!I126-Monthly_Prices_RAW!I125)</f>
        <v>9.1000000000000014</v>
      </c>
    </row>
    <row r="125" spans="1:8" x14ac:dyDescent="0.25">
      <c r="A125" s="1">
        <f>Monthly_Prices_RAW!B126</f>
        <v>44012</v>
      </c>
      <c r="B125">
        <f>IF(OR(Monthly_Prices_RAW!C127="",Monthly_Prices_RAW!C126=""),"",LN(Monthly_Prices_RAW!C127/Monthly_Prices_RAW!C126))</f>
        <v>8.2968812836437103E-2</v>
      </c>
      <c r="C125">
        <f>IF(OR(Monthly_Prices_RAW!D127="",Monthly_Prices_RAW!D126=""),"",LN(Monthly_Prices_RAW!D127/Monthly_Prices_RAW!D126))</f>
        <v>0.10856931969461103</v>
      </c>
      <c r="D125">
        <f>IF(OR(Monthly_Prices_RAW!E127="",Monthly_Prices_RAW!E126=""),"",LN(Monthly_Prices_RAW!E127/Monthly_Prices_RAW!E126))</f>
        <v>5.5375608216051322E-2</v>
      </c>
      <c r="E125">
        <f>IF(OR(Monthly_Prices_RAW!F127="",Monthly_Prices_RAW!F126=""),"",LN(Monthly_Prices_RAW!F127/Monthly_Prices_RAW!F126))</f>
        <v>5.6420602703279595E-2</v>
      </c>
      <c r="F125">
        <f>IF(OR(Monthly_Prices_RAW!G127="",Monthly_Prices_RAW!G126=""),"",LN(Monthly_Prices_RAW!G127/Monthly_Prices_RAW!G126))</f>
        <v>3.417675645149694E-2</v>
      </c>
      <c r="G125">
        <f>IF(OR(Monthly_Prices_RAW!H127="",Monthly_Prices_RAW!H126=""),"",LN(Monthly_Prices_RAW!H127/Monthly_Prices_RAW!H126))</f>
        <v>5.3636778409248576E-2</v>
      </c>
      <c r="H125">
        <f>IF(OR(Monthly_Prices_RAW!I127="",Monthly_Prices_RAW!I126=""),"",Monthly_Prices_RAW!I127-Monthly_Prices_RAW!I126)</f>
        <v>1.1999999999999957</v>
      </c>
    </row>
    <row r="126" spans="1:8" x14ac:dyDescent="0.25">
      <c r="A126" s="1">
        <f>Monthly_Prices_RAW!B127</f>
        <v>44043</v>
      </c>
      <c r="B126">
        <f>IF(OR(Monthly_Prices_RAW!C128="",Monthly_Prices_RAW!C127=""),"",LN(Monthly_Prices_RAW!C128/Monthly_Prices_RAW!C127))</f>
        <v>2.7620256236088804E-2</v>
      </c>
      <c r="C126">
        <f>IF(OR(Monthly_Prices_RAW!D128="",Monthly_Prices_RAW!D127=""),"",LN(Monthly_Prices_RAW!D128/Monthly_Prices_RAW!D127))</f>
        <v>0.14137242477432285</v>
      </c>
      <c r="D126">
        <f>IF(OR(Monthly_Prices_RAW!E128="",Monthly_Prices_RAW!E127=""),"",LN(Monthly_Prices_RAW!E128/Monthly_Prices_RAW!E127))</f>
        <v>5.8571485957853622E-2</v>
      </c>
      <c r="E126">
        <f>IF(OR(Monthly_Prices_RAW!F128="",Monthly_Prices_RAW!F127=""),"",LN(Monthly_Prices_RAW!F128/Monthly_Prices_RAW!F127))</f>
        <v>4.9248602569592438E-2</v>
      </c>
      <c r="F126">
        <f>IF(OR(Monthly_Prices_RAW!G128="",Monthly_Prices_RAW!G127=""),"",LN(Monthly_Prices_RAW!G128/Monthly_Prices_RAW!G127))</f>
        <v>3.2098630081457184E-2</v>
      </c>
      <c r="G126">
        <f>IF(OR(Monthly_Prices_RAW!H128="",Monthly_Prices_RAW!H127=""),"",LN(Monthly_Prices_RAW!H128/Monthly_Prices_RAW!H127))</f>
        <v>6.7719102089653677E-2</v>
      </c>
      <c r="H126">
        <f>IF(OR(Monthly_Prices_RAW!I128="",Monthly_Prices_RAW!I127=""),"",Monthly_Prices_RAW!I128-Monthly_Prices_RAW!I127)</f>
        <v>1.6000000000000014</v>
      </c>
    </row>
    <row r="127" spans="1:8" x14ac:dyDescent="0.25">
      <c r="A127" s="1">
        <f>Monthly_Prices_RAW!B128</f>
        <v>44074</v>
      </c>
      <c r="B127">
        <f>IF(OR(Monthly_Prices_RAW!C129="",Monthly_Prices_RAW!C128=""),"",LN(Monthly_Prices_RAW!C129/Monthly_Prices_RAW!C128))</f>
        <v>-1.3813361658105523E-2</v>
      </c>
      <c r="C127">
        <f>IF(OR(Monthly_Prices_RAW!D129="",Monthly_Prices_RAW!D128=""),"",LN(Monthly_Prices_RAW!D129/Monthly_Prices_RAW!D128))</f>
        <v>-4.5771045433859639E-2</v>
      </c>
      <c r="D127">
        <f>IF(OR(Monthly_Prices_RAW!E129="",Monthly_Prices_RAW!E128=""),"",LN(Monthly_Prices_RAW!E129/Monthly_Prices_RAW!E128))</f>
        <v>-2.7990468591595295E-3</v>
      </c>
      <c r="E127">
        <f>IF(OR(Monthly_Prices_RAW!F129="",Monthly_Prices_RAW!F128=""),"",LN(Monthly_Prices_RAW!F129/Monthly_Prices_RAW!F128))</f>
        <v>-1.9635974516858962E-2</v>
      </c>
      <c r="F127">
        <f>IF(OR(Monthly_Prices_RAW!G129="",Monthly_Prices_RAW!G128=""),"",LN(Monthly_Prices_RAW!G129/Monthly_Prices_RAW!G128))</f>
        <v>-2.9442214678051901E-2</v>
      </c>
      <c r="G127">
        <f>IF(OR(Monthly_Prices_RAW!H129="",Monthly_Prices_RAW!H128=""),"",LN(Monthly_Prices_RAW!H129/Monthly_Prices_RAW!H128))</f>
        <v>-4.0018103243589488E-2</v>
      </c>
      <c r="H127">
        <f>IF(OR(Monthly_Prices_RAW!I129="",Monthly_Prices_RAW!I128=""),"",Monthly_Prices_RAW!I129-Monthly_Prices_RAW!I128)</f>
        <v>0.10000000000000142</v>
      </c>
    </row>
    <row r="128" spans="1:8" x14ac:dyDescent="0.25">
      <c r="A128" s="1">
        <f>Monthly_Prices_RAW!B129</f>
        <v>44104</v>
      </c>
      <c r="B128">
        <f>IF(OR(Monthly_Prices_RAW!C130="",Monthly_Prices_RAW!C129=""),"",LN(Monthly_Prices_RAW!C130/Monthly_Prices_RAW!C129))</f>
        <v>-6.1815758559641582E-2</v>
      </c>
      <c r="C128">
        <f>IF(OR(Monthly_Prices_RAW!D130="",Monthly_Prices_RAW!D129=""),"",LN(Monthly_Prices_RAW!D130/Monthly_Prices_RAW!D129))</f>
        <v>-2.5785048362358072E-2</v>
      </c>
      <c r="D128">
        <f>IF(OR(Monthly_Prices_RAW!E130="",Monthly_Prices_RAW!E129=""),"",LN(Monthly_Prices_RAW!E130/Monthly_Prices_RAW!E129))</f>
        <v>4.9342205372214778E-3</v>
      </c>
      <c r="E128">
        <f>IF(OR(Monthly_Prices_RAW!F130="",Monthly_Prices_RAW!F129=""),"",LN(Monthly_Prices_RAW!F130/Monthly_Prices_RAW!F129))</f>
        <v>4.6223809009289525E-2</v>
      </c>
      <c r="F128">
        <f>IF(OR(Monthly_Prices_RAW!G130="",Monthly_Prices_RAW!G129=""),"",LN(Monthly_Prices_RAW!G130/Monthly_Prices_RAW!G129))</f>
        <v>-1.8887101251390193E-2</v>
      </c>
      <c r="G128">
        <f>IF(OR(Monthly_Prices_RAW!H130="",Monthly_Prices_RAW!H129=""),"",LN(Monthly_Prices_RAW!H130/Monthly_Prices_RAW!H129))</f>
        <v>-2.8055680339689231E-2</v>
      </c>
      <c r="H128">
        <f>IF(OR(Monthly_Prices_RAW!I130="",Monthly_Prices_RAW!I129=""),"",Monthly_Prices_RAW!I130-Monthly_Prices_RAW!I129)</f>
        <v>3.2000000000000028</v>
      </c>
    </row>
    <row r="129" spans="1:8" x14ac:dyDescent="0.25">
      <c r="A129" s="1">
        <f>Monthly_Prices_RAW!B130</f>
        <v>44135</v>
      </c>
      <c r="B129">
        <f>IF(OR(Monthly_Prices_RAW!C131="",Monthly_Prices_RAW!C130=""),"",LN(Monthly_Prices_RAW!C131/Monthly_Prices_RAW!C130))</f>
        <v>0.13491805383404817</v>
      </c>
      <c r="C129">
        <f>IF(OR(Monthly_Prices_RAW!D131="",Monthly_Prices_RAW!D130=""),"",LN(Monthly_Prices_RAW!D131/Monthly_Prices_RAW!D130))</f>
        <v>5.3595380069785738E-2</v>
      </c>
      <c r="D129">
        <f>IF(OR(Monthly_Prices_RAW!E131="",Monthly_Prices_RAW!E130=""),"",LN(Monthly_Prices_RAW!E131/Monthly_Prices_RAW!E130))</f>
        <v>0.11546515684562614</v>
      </c>
      <c r="E129">
        <f>IF(OR(Monthly_Prices_RAW!F131="",Monthly_Prices_RAW!F130=""),"",LN(Monthly_Prices_RAW!F131/Monthly_Prices_RAW!F130))</f>
        <v>0.10102329010021545</v>
      </c>
      <c r="F129">
        <f>IF(OR(Monthly_Prices_RAW!G131="",Monthly_Prices_RAW!G130=""),"",LN(Monthly_Prices_RAW!G131/Monthly_Prices_RAW!G130))</f>
        <v>4.3981482993338636E-2</v>
      </c>
      <c r="G129">
        <f>IF(OR(Monthly_Prices_RAW!H131="",Monthly_Prices_RAW!H130=""),"",LN(Monthly_Prices_RAW!H131/Monthly_Prices_RAW!H130))</f>
        <v>0.10214644831840361</v>
      </c>
      <c r="H129">
        <f>IF(OR(Monthly_Prices_RAW!I131="",Monthly_Prices_RAW!I130=""),"",Monthly_Prices_RAW!I131-Monthly_Prices_RAW!I130)</f>
        <v>-1.4000000000000057</v>
      </c>
    </row>
    <row r="130" spans="1:8" x14ac:dyDescent="0.25">
      <c r="A130" s="1">
        <f>Monthly_Prices_RAW!B131</f>
        <v>44165</v>
      </c>
      <c r="B130">
        <f>IF(OR(Monthly_Prices_RAW!C132="",Monthly_Prices_RAW!C131=""),"",LN(Monthly_Prices_RAW!C132/Monthly_Prices_RAW!C131))</f>
        <v>0.14649097418739584</v>
      </c>
      <c r="C130">
        <f>IF(OR(Monthly_Prices_RAW!D132="",Monthly_Prices_RAW!D131=""),"",LN(Monthly_Prices_RAW!D132/Monthly_Prices_RAW!D131))</f>
        <v>0.21299514259248875</v>
      </c>
      <c r="D130">
        <f>IF(OR(Monthly_Prices_RAW!E132="",Monthly_Prices_RAW!E131=""),"",LN(Monthly_Prices_RAW!E132/Monthly_Prices_RAW!E131))</f>
        <v>2.8390119120532263E-2</v>
      </c>
      <c r="E130">
        <f>IF(OR(Monthly_Prices_RAW!F132="",Monthly_Prices_RAW!F131=""),"",LN(Monthly_Prices_RAW!F132/Monthly_Prices_RAW!F131))</f>
        <v>-3.2553501930716773E-2</v>
      </c>
      <c r="F130">
        <f>IF(OR(Monthly_Prices_RAW!G132="",Monthly_Prices_RAW!G131=""),"",LN(Monthly_Prices_RAW!G132/Monthly_Prices_RAW!G131))</f>
        <v>4.6557151011913947E-2</v>
      </c>
      <c r="G130">
        <f>IF(OR(Monthly_Prices_RAW!H132="",Monthly_Prices_RAW!H131=""),"",LN(Monthly_Prices_RAW!H132/Monthly_Prices_RAW!H131))</f>
        <v>3.6448997283216107E-2</v>
      </c>
      <c r="H130">
        <f>IF(OR(Monthly_Prices_RAW!I132="",Monthly_Prices_RAW!I131=""),"",Monthly_Prices_RAW!I132-Monthly_Prices_RAW!I131)</f>
        <v>2.9000000000000057</v>
      </c>
    </row>
    <row r="131" spans="1:8" x14ac:dyDescent="0.25">
      <c r="A131" s="1">
        <f>Monthly_Prices_RAW!B132</f>
        <v>44196</v>
      </c>
      <c r="B131">
        <f>IF(OR(Monthly_Prices_RAW!C133="",Monthly_Prices_RAW!C132=""),"",LN(Monthly_Prices_RAW!C133/Monthly_Prices_RAW!C132))</f>
        <v>1.5827851682038485E-2</v>
      </c>
      <c r="C131">
        <f>IF(OR(Monthly_Prices_RAW!D133="",Monthly_Prices_RAW!D132=""),"",LN(Monthly_Prices_RAW!D133/Monthly_Prices_RAW!D132))</f>
        <v>2.0194861072536055E-2</v>
      </c>
      <c r="D131">
        <f>IF(OR(Monthly_Prices_RAW!E133="",Monthly_Prices_RAW!E132=""),"",LN(Monthly_Prices_RAW!E133/Monthly_Prices_RAW!E132))</f>
        <v>1.0459459312210064E-2</v>
      </c>
      <c r="E131">
        <f>IF(OR(Monthly_Prices_RAW!F133="",Monthly_Prices_RAW!F132=""),"",LN(Monthly_Prices_RAW!F133/Monthly_Prices_RAW!F132))</f>
        <v>-1.0108669043763154E-3</v>
      </c>
      <c r="F131">
        <f>IF(OR(Monthly_Prices_RAW!G133="",Monthly_Prices_RAW!G132=""),"",LN(Monthly_Prices_RAW!G133/Monthly_Prices_RAW!G132))</f>
        <v>-6.5197779520767994E-3</v>
      </c>
      <c r="G131">
        <f>IF(OR(Monthly_Prices_RAW!H133="",Monthly_Prices_RAW!H132=""),"",LN(Monthly_Prices_RAW!H133/Monthly_Prices_RAW!H132))</f>
        <v>-1.1199116821942242E-2</v>
      </c>
      <c r="H131">
        <f>IF(OR(Monthly_Prices_RAW!I133="",Monthly_Prices_RAW!I132=""),"",Monthly_Prices_RAW!I133-Monthly_Prices_RAW!I132)</f>
        <v>-1</v>
      </c>
    </row>
    <row r="132" spans="1:8" x14ac:dyDescent="0.25">
      <c r="A132" s="1">
        <f>Monthly_Prices_RAW!B133</f>
        <v>44227</v>
      </c>
      <c r="B132">
        <f>IF(OR(Monthly_Prices_RAW!C134="",Monthly_Prices_RAW!C133=""),"",LN(Monthly_Prices_RAW!C134/Monthly_Prices_RAW!C133))</f>
        <v>0.13425020441187227</v>
      </c>
      <c r="C132">
        <f>IF(OR(Monthly_Prices_RAW!D134="",Monthly_Prices_RAW!D133=""),"",LN(Monthly_Prices_RAW!D134/Monthly_Prices_RAW!D133))</f>
        <v>5.8005307605405482E-2</v>
      </c>
      <c r="D132">
        <f>IF(OR(Monthly_Prices_RAW!E134="",Monthly_Prices_RAW!E133=""),"",LN(Monthly_Prices_RAW!E134/Monthly_Prices_RAW!E133))</f>
        <v>0.14100829207644772</v>
      </c>
      <c r="E132">
        <f>IF(OR(Monthly_Prices_RAW!F134="",Monthly_Prices_RAW!F133=""),"",LN(Monthly_Prices_RAW!F134/Monthly_Prices_RAW!F133))</f>
        <v>8.5725257414083711E-2</v>
      </c>
      <c r="F132">
        <f>IF(OR(Monthly_Prices_RAW!G134="",Monthly_Prices_RAW!G133=""),"",LN(Monthly_Prices_RAW!G134/Monthly_Prices_RAW!G133))</f>
        <v>8.0782198259392746E-3</v>
      </c>
      <c r="G132">
        <f>IF(OR(Monthly_Prices_RAW!H134="",Monthly_Prices_RAW!H133=""),"",LN(Monthly_Prices_RAW!H134/Monthly_Prices_RAW!H133))</f>
        <v>2.5756899667125591E-2</v>
      </c>
      <c r="H132">
        <f>IF(OR(Monthly_Prices_RAW!I134="",Monthly_Prices_RAW!I133=""),"",Monthly_Prices_RAW!I134-Monthly_Prices_RAW!I133)</f>
        <v>1.1999999999999957</v>
      </c>
    </row>
    <row r="133" spans="1:8" x14ac:dyDescent="0.25">
      <c r="A133" s="1">
        <f>Monthly_Prices_RAW!B134</f>
        <v>44255</v>
      </c>
      <c r="B133">
        <f>IF(OR(Monthly_Prices_RAW!C135="",Monthly_Prices_RAW!C134=""),"",LN(Monthly_Prices_RAW!C135/Monthly_Prices_RAW!C134))</f>
        <v>-7.0365527376706594E-2</v>
      </c>
      <c r="C133">
        <f>IF(OR(Monthly_Prices_RAW!D135="",Monthly_Prices_RAW!D134=""),"",LN(Monthly_Prices_RAW!D135/Monthly_Prices_RAW!D134))</f>
        <v>-6.9736025431785031E-2</v>
      </c>
      <c r="D133">
        <f>IF(OR(Monthly_Prices_RAW!E135="",Monthly_Prices_RAW!E134=""),"",LN(Monthly_Prices_RAW!E135/Monthly_Prices_RAW!E134))</f>
        <v>-2.4475881895725349E-2</v>
      </c>
      <c r="E133">
        <f>IF(OR(Monthly_Prices_RAW!F135="",Monthly_Prices_RAW!F134=""),"",LN(Monthly_Prices_RAW!F135/Monthly_Prices_RAW!F134))</f>
        <v>2.6338405586332766E-2</v>
      </c>
      <c r="F133">
        <f>IF(OR(Monthly_Prices_RAW!G135="",Monthly_Prices_RAW!G134=""),"",LN(Monthly_Prices_RAW!G135/Monthly_Prices_RAW!G134))</f>
        <v>-1.4114191438531942E-2</v>
      </c>
      <c r="G133">
        <f>IF(OR(Monthly_Prices_RAW!H135="",Monthly_Prices_RAW!H134=""),"",LN(Monthly_Prices_RAW!H135/Monthly_Prices_RAW!H134))</f>
        <v>4.1562808697442971E-2</v>
      </c>
      <c r="H133">
        <f>IF(OR(Monthly_Prices_RAW!I135="",Monthly_Prices_RAW!I134=""),"",Monthly_Prices_RAW!I135-Monthly_Prices_RAW!I134)</f>
        <v>3.3999999999999986</v>
      </c>
    </row>
    <row r="134" spans="1:8" x14ac:dyDescent="0.25">
      <c r="A134" s="1">
        <f>Monthly_Prices_RAW!B135</f>
        <v>44286</v>
      </c>
      <c r="B134">
        <f>IF(OR(Monthly_Prices_RAW!C136="",Monthly_Prices_RAW!C135=""),"",LN(Monthly_Prices_RAW!C136/Monthly_Prices_RAW!C135))</f>
        <v>9.1144872993023748E-2</v>
      </c>
      <c r="C134">
        <f>IF(OR(Monthly_Prices_RAW!D136="",Monthly_Prices_RAW!D135=""),"",LN(Monthly_Prices_RAW!D136/Monthly_Prices_RAW!D135))</f>
        <v>0.17745800266877598</v>
      </c>
      <c r="D134">
        <f>IF(OR(Monthly_Prices_RAW!E136="",Monthly_Prices_RAW!E135=""),"",LN(Monthly_Prices_RAW!E136/Monthly_Prices_RAW!E135))</f>
        <v>0.11423107939278258</v>
      </c>
      <c r="E134">
        <f>IF(OR(Monthly_Prices_RAW!F136="",Monthly_Prices_RAW!F135=""),"",LN(Monthly_Prices_RAW!F136/Monthly_Prices_RAW!F135))</f>
        <v>8.032087179215891E-2</v>
      </c>
      <c r="F134">
        <f>IF(OR(Monthly_Prices_RAW!G136="",Monthly_Prices_RAW!G135=""),"",LN(Monthly_Prices_RAW!G136/Monthly_Prices_RAW!G135))</f>
        <v>1.5411040278048755E-2</v>
      </c>
      <c r="G134">
        <f>IF(OR(Monthly_Prices_RAW!H136="",Monthly_Prices_RAW!H135=""),"",LN(Monthly_Prices_RAW!H136/Monthly_Prices_RAW!H135))</f>
        <v>5.1097322114293922E-2</v>
      </c>
      <c r="H134">
        <f>IF(OR(Monthly_Prices_RAW!I136="",Monthly_Prices_RAW!I135=""),"",Monthly_Prices_RAW!I136-Monthly_Prices_RAW!I135)</f>
        <v>-3</v>
      </c>
    </row>
    <row r="135" spans="1:8" x14ac:dyDescent="0.25">
      <c r="A135" s="1">
        <f>Monthly_Prices_RAW!B136</f>
        <v>44316</v>
      </c>
      <c r="B135">
        <f>IF(OR(Monthly_Prices_RAW!C137="",Monthly_Prices_RAW!C136=""),"",LN(Monthly_Prices_RAW!C137/Monthly_Prices_RAW!C136))</f>
        <v>2.7481463590036531E-2</v>
      </c>
      <c r="C135">
        <f>IF(OR(Monthly_Prices_RAW!D137="",Monthly_Prices_RAW!D136=""),"",LN(Monthly_Prices_RAW!D137/Monthly_Prices_RAW!D136))</f>
        <v>8.6889213059057058E-2</v>
      </c>
      <c r="D135">
        <f>IF(OR(Monthly_Prices_RAW!E137="",Monthly_Prices_RAW!E136=""),"",LN(Monthly_Prices_RAW!E137/Monthly_Prices_RAW!E136))</f>
        <v>4.3363971940944671E-2</v>
      </c>
      <c r="E135">
        <f>IF(OR(Monthly_Prices_RAW!F137="",Monthly_Prices_RAW!F136=""),"",LN(Monthly_Prices_RAW!F137/Monthly_Prices_RAW!F136))</f>
        <v>3.5249551073782352E-2</v>
      </c>
      <c r="F135">
        <f>IF(OR(Monthly_Prices_RAW!G137="",Monthly_Prices_RAW!G136=""),"",LN(Monthly_Prices_RAW!G137/Monthly_Prices_RAW!G136))</f>
        <v>2.3300981416228303E-3</v>
      </c>
      <c r="G135">
        <f>IF(OR(Monthly_Prices_RAW!H137="",Monthly_Prices_RAW!H136=""),"",LN(Monthly_Prices_RAW!H137/Monthly_Prices_RAW!H136))</f>
        <v>5.4715065520221503E-3</v>
      </c>
      <c r="H135">
        <f>IF(OR(Monthly_Prices_RAW!I137="",Monthly_Prices_RAW!I136=""),"",Monthly_Prices_RAW!I137-Monthly_Prices_RAW!I136)</f>
        <v>0.80000000000000426</v>
      </c>
    </row>
    <row r="136" spans="1:8" x14ac:dyDescent="0.25">
      <c r="A136" s="1">
        <f>Monthly_Prices_RAW!B137</f>
        <v>44347</v>
      </c>
      <c r="B136">
        <f>IF(OR(Monthly_Prices_RAW!C138="",Monthly_Prices_RAW!C137=""),"",LN(Monthly_Prices_RAW!C138/Monthly_Prices_RAW!C137))</f>
        <v>-4.1332043679019506E-2</v>
      </c>
      <c r="C136">
        <f>IF(OR(Monthly_Prices_RAW!D138="",Monthly_Prices_RAW!D137=""),"",LN(Monthly_Prices_RAW!D138/Monthly_Prices_RAW!D137))</f>
        <v>4.9995852605982292E-2</v>
      </c>
      <c r="D136">
        <f>IF(OR(Monthly_Prices_RAW!E138="",Monthly_Prices_RAW!E137=""),"",LN(Monthly_Prices_RAW!E138/Monthly_Prices_RAW!E137))</f>
        <v>-8.496304139496702E-2</v>
      </c>
      <c r="E136">
        <f>IF(OR(Monthly_Prices_RAW!F138="",Monthly_Prices_RAW!F137=""),"",LN(Monthly_Prices_RAW!F138/Monthly_Prices_RAW!F137))</f>
        <v>1.6179320272150386E-2</v>
      </c>
      <c r="F136">
        <f>IF(OR(Monthly_Prices_RAW!G138="",Monthly_Prices_RAW!G137=""),"",LN(Monthly_Prices_RAW!G138/Monthly_Prices_RAW!G137))</f>
        <v>-3.0989874871385052E-2</v>
      </c>
      <c r="G136">
        <f>IF(OR(Monthly_Prices_RAW!H138="",Monthly_Prices_RAW!H137=""),"",LN(Monthly_Prices_RAW!H138/Monthly_Prices_RAW!H137))</f>
        <v>2.1970840045862021E-2</v>
      </c>
      <c r="H136">
        <f>IF(OR(Monthly_Prices_RAW!I138="",Monthly_Prices_RAW!I137=""),"",Monthly_Prices_RAW!I138-Monthly_Prices_RAW!I137)</f>
        <v>-0.30000000000000426</v>
      </c>
    </row>
    <row r="137" spans="1:8" x14ac:dyDescent="0.25">
      <c r="A137" s="1">
        <f>Monthly_Prices_RAW!B138</f>
        <v>44377</v>
      </c>
      <c r="B137">
        <f>IF(OR(Monthly_Prices_RAW!C139="",Monthly_Prices_RAW!C138=""),"",LN(Monthly_Prices_RAW!C139/Monthly_Prices_RAW!C138))</f>
        <v>2.8439461537627487E-2</v>
      </c>
      <c r="C137">
        <f>IF(OR(Monthly_Prices_RAW!D139="",Monthly_Prices_RAW!D138=""),"",LN(Monthly_Prices_RAW!D139/Monthly_Prices_RAW!D138))</f>
        <v>-0.16753627173525773</v>
      </c>
      <c r="D137">
        <f>IF(OR(Monthly_Prices_RAW!E139="",Monthly_Prices_RAW!E138=""),"",LN(Monthly_Prices_RAW!E139/Monthly_Prices_RAW!E138))</f>
        <v>4.2380188726010307E-2</v>
      </c>
      <c r="E137">
        <f>IF(OR(Monthly_Prices_RAW!F139="",Monthly_Prices_RAW!F138=""),"",LN(Monthly_Prices_RAW!F139/Monthly_Prices_RAW!F138))</f>
        <v>2.601104891326635E-2</v>
      </c>
      <c r="F137">
        <f>IF(OR(Monthly_Prices_RAW!G139="",Monthly_Prices_RAW!G138=""),"",LN(Monthly_Prices_RAW!G139/Monthly_Prices_RAW!G138))</f>
        <v>-2.0752664995530936E-2</v>
      </c>
      <c r="G137">
        <f>IF(OR(Monthly_Prices_RAW!H139="",Monthly_Prices_RAW!H138=""),"",LN(Monthly_Prices_RAW!H139/Monthly_Prices_RAW!H138))</f>
        <v>2.249322924674322E-2</v>
      </c>
      <c r="H137">
        <f>IF(OR(Monthly_Prices_RAW!I139="",Monthly_Prices_RAW!I138=""),"",Monthly_Prices_RAW!I139-Monthly_Prices_RAW!I138)</f>
        <v>-1.0999999999999943</v>
      </c>
    </row>
    <row r="138" spans="1:8" x14ac:dyDescent="0.25">
      <c r="A138" s="1">
        <f>Monthly_Prices_RAW!B139</f>
        <v>44408</v>
      </c>
      <c r="B138">
        <f>IF(OR(Monthly_Prices_RAW!C140="",Monthly_Prices_RAW!C139=""),"",LN(Monthly_Prices_RAW!C140/Monthly_Prices_RAW!C139))</f>
        <v>-7.1054227448500637E-2</v>
      </c>
      <c r="C138">
        <f>IF(OR(Monthly_Prices_RAW!D140="",Monthly_Prices_RAW!D139=""),"",LN(Monthly_Prices_RAW!D140/Monthly_Prices_RAW!D139))</f>
        <v>-0.15396409177581577</v>
      </c>
      <c r="D138">
        <f>IF(OR(Monthly_Prices_RAW!E140="",Monthly_Prices_RAW!E139=""),"",LN(Monthly_Prices_RAW!E140/Monthly_Prices_RAW!E139))</f>
        <v>-2.7708869136207893E-2</v>
      </c>
      <c r="E138">
        <f>IF(OR(Monthly_Prices_RAW!F140="",Monthly_Prices_RAW!F139=""),"",LN(Monthly_Prices_RAW!F140/Monthly_Prices_RAW!F139))</f>
        <v>4.8238440017505622E-2</v>
      </c>
      <c r="F138">
        <f>IF(OR(Monthly_Prices_RAW!G140="",Monthly_Prices_RAW!G139=""),"",LN(Monthly_Prices_RAW!G140/Monthly_Prices_RAW!G139))</f>
        <v>-3.8199227895701002E-3</v>
      </c>
      <c r="G138">
        <f>IF(OR(Monthly_Prices_RAW!H140="",Monthly_Prices_RAW!H139=""),"",LN(Monthly_Prices_RAW!H140/Monthly_Prices_RAW!H139))</f>
        <v>2.857805096868915E-2</v>
      </c>
      <c r="H138">
        <f>IF(OR(Monthly_Prices_RAW!I140="",Monthly_Prices_RAW!I139=""),"",Monthly_Prices_RAW!I140-Monthly_Prices_RAW!I139)</f>
        <v>-0.40000000000000568</v>
      </c>
    </row>
    <row r="139" spans="1:8" x14ac:dyDescent="0.25">
      <c r="A139" s="1">
        <f>Monthly_Prices_RAW!B140</f>
        <v>44439</v>
      </c>
      <c r="B139">
        <f>IF(OR(Monthly_Prices_RAW!C141="",Monthly_Prices_RAW!C140=""),"",LN(Monthly_Prices_RAW!C141/Monthly_Prices_RAW!C140))</f>
        <v>-0.11641864721141269</v>
      </c>
      <c r="C139">
        <f>IF(OR(Monthly_Prices_RAW!D141="",Monthly_Prices_RAW!D140=""),"",LN(Monthly_Prices_RAW!D141/Monthly_Prices_RAW!D140))</f>
        <v>-0.24028386441258867</v>
      </c>
      <c r="D139">
        <f>IF(OR(Monthly_Prices_RAW!E141="",Monthly_Prices_RAW!E140=""),"",LN(Monthly_Prices_RAW!E141/Monthly_Prices_RAW!E140))</f>
        <v>-6.4171615978437707E-2</v>
      </c>
      <c r="E139">
        <f>IF(OR(Monthly_Prices_RAW!F141="",Monthly_Prices_RAW!F140=""),"",LN(Monthly_Prices_RAW!F141/Monthly_Prices_RAW!F140))</f>
        <v>5.0400695992937013E-2</v>
      </c>
      <c r="F139">
        <f>IF(OR(Monthly_Prices_RAW!G141="",Monthly_Prices_RAW!G140=""),"",LN(Monthly_Prices_RAW!G141/Monthly_Prices_RAW!G140))</f>
        <v>-1.2239718227775321E-2</v>
      </c>
      <c r="G139">
        <f>IF(OR(Monthly_Prices_RAW!H141="",Monthly_Prices_RAW!H140=""),"",LN(Monthly_Prices_RAW!H141/Monthly_Prices_RAW!H140))</f>
        <v>-4.8737762984622721E-2</v>
      </c>
      <c r="H139">
        <f>IF(OR(Monthly_Prices_RAW!I141="",Monthly_Prices_RAW!I140=""),"",Monthly_Prices_RAW!I141-Monthly_Prices_RAW!I140)</f>
        <v>1</v>
      </c>
    </row>
    <row r="140" spans="1:8" x14ac:dyDescent="0.25">
      <c r="A140" s="1">
        <f>Monthly_Prices_RAW!B141</f>
        <v>44469</v>
      </c>
      <c r="B140">
        <f>IF(OR(Monthly_Prices_RAW!C142="",Monthly_Prices_RAW!C141=""),"",LN(Monthly_Prices_RAW!C142/Monthly_Prices_RAW!C141))</f>
        <v>-5.4591060766424469E-2</v>
      </c>
      <c r="C140">
        <f>IF(OR(Monthly_Prices_RAW!D142="",Monthly_Prices_RAW!D141=""),"",LN(Monthly_Prices_RAW!D142/Monthly_Prices_RAW!D141))</f>
        <v>-8.804608511679253E-2</v>
      </c>
      <c r="D140">
        <f>IF(OR(Monthly_Prices_RAW!E142="",Monthly_Prices_RAW!E141=""),"",LN(Monthly_Prices_RAW!E142/Monthly_Prices_RAW!E141))</f>
        <v>6.6004797060098833E-2</v>
      </c>
      <c r="E140">
        <f>IF(OR(Monthly_Prices_RAW!F142="",Monthly_Prices_RAW!F141=""),"",LN(Monthly_Prices_RAW!F142/Monthly_Prices_RAW!F141))</f>
        <v>-5.0952724712448182E-2</v>
      </c>
      <c r="F140">
        <f>IF(OR(Monthly_Prices_RAW!G142="",Monthly_Prices_RAW!G141=""),"",LN(Monthly_Prices_RAW!G142/Monthly_Prices_RAW!G141))</f>
        <v>3.9476132841142257E-2</v>
      </c>
      <c r="G140">
        <f>IF(OR(Monthly_Prices_RAW!H142="",Monthly_Prices_RAW!H141=""),"",LN(Monthly_Prices_RAW!H142/Monthly_Prices_RAW!H141))</f>
        <v>6.6858209798173654E-2</v>
      </c>
      <c r="H140">
        <f>IF(OR(Monthly_Prices_RAW!I142="",Monthly_Prices_RAW!I141=""),"",Monthly_Prices_RAW!I142-Monthly_Prices_RAW!I141)</f>
        <v>-9.9999999999994316E-2</v>
      </c>
    </row>
    <row r="141" spans="1:8" x14ac:dyDescent="0.25">
      <c r="A141" s="1">
        <f>Monthly_Prices_RAW!B142</f>
        <v>44500</v>
      </c>
      <c r="B141">
        <f>IF(OR(Monthly_Prices_RAW!C143="",Monthly_Prices_RAW!C142=""),"",LN(Monthly_Prices_RAW!C143/Monthly_Prices_RAW!C142))</f>
        <v>-9.2088453804399211E-3</v>
      </c>
      <c r="C141">
        <f>IF(OR(Monthly_Prices_RAW!D143="",Monthly_Prices_RAW!D142=""),"",LN(Monthly_Prices_RAW!D143/Monthly_Prices_RAW!D142))</f>
        <v>-0.15558745081874301</v>
      </c>
      <c r="D141">
        <f>IF(OR(Monthly_Prices_RAW!E143="",Monthly_Prices_RAW!E142=""),"",LN(Monthly_Prices_RAW!E143/Monthly_Prices_RAW!E142))</f>
        <v>-2.081962778239007E-2</v>
      </c>
      <c r="E141">
        <f>IF(OR(Monthly_Prices_RAW!F143="",Monthly_Prices_RAW!F142=""),"",LN(Monthly_Prices_RAW!F143/Monthly_Prices_RAW!F142))</f>
        <v>-3.4263390965853686E-2</v>
      </c>
      <c r="F141">
        <f>IF(OR(Monthly_Prices_RAW!G143="",Monthly_Prices_RAW!G142=""),"",LN(Monthly_Prices_RAW!G143/Monthly_Prices_RAW!G142))</f>
        <v>-5.3409756622252565E-2</v>
      </c>
      <c r="G141">
        <f>IF(OR(Monthly_Prices_RAW!H143="",Monthly_Prices_RAW!H142=""),"",LN(Monthly_Prices_RAW!H143/Monthly_Prices_RAW!H142))</f>
        <v>-8.3686511009886007E-3</v>
      </c>
      <c r="H141">
        <f>IF(OR(Monthly_Prices_RAW!I143="",Monthly_Prices_RAW!I142=""),"",Monthly_Prices_RAW!I143-Monthly_Prices_RAW!I142)</f>
        <v>9.9999999999994316E-2</v>
      </c>
    </row>
    <row r="142" spans="1:8" x14ac:dyDescent="0.25">
      <c r="A142" s="1">
        <f>Monthly_Prices_RAW!B143</f>
        <v>44530</v>
      </c>
      <c r="B142">
        <f>IF(OR(Monthly_Prices_RAW!C144="",Monthly_Prices_RAW!C143=""),"",LN(Monthly_Prices_RAW!C144/Monthly_Prices_RAW!C143))</f>
        <v>6.5594069742407099E-2</v>
      </c>
      <c r="C142">
        <f>IF(OR(Monthly_Prices_RAW!D144="",Monthly_Prices_RAW!D143=""),"",LN(Monthly_Prices_RAW!D144/Monthly_Prices_RAW!D143))</f>
        <v>0.18955247527142491</v>
      </c>
      <c r="D142">
        <f>IF(OR(Monthly_Prices_RAW!E144="",Monthly_Prices_RAW!E143=""),"",LN(Monthly_Prices_RAW!E144/Monthly_Prices_RAW!E143))</f>
        <v>4.2447600977065944E-2</v>
      </c>
      <c r="E142">
        <f>IF(OR(Monthly_Prices_RAW!F144="",Monthly_Prices_RAW!F143=""),"",LN(Monthly_Prices_RAW!F144/Monthly_Prices_RAW!F143))</f>
        <v>6.721351158687415E-2</v>
      </c>
      <c r="F142">
        <f>IF(OR(Monthly_Prices_RAW!G144="",Monthly_Prices_RAW!G143=""),"",LN(Monthly_Prices_RAW!G144/Monthly_Prices_RAW!G143))</f>
        <v>1.8902578104297421E-2</v>
      </c>
      <c r="G142">
        <f>IF(OR(Monthly_Prices_RAW!H144="",Monthly_Prices_RAW!H143=""),"",LN(Monthly_Prices_RAW!H144/Monthly_Prices_RAW!H143))</f>
        <v>4.2688611280446646E-2</v>
      </c>
      <c r="H142">
        <f>IF(OR(Monthly_Prices_RAW!I144="",Monthly_Prices_RAW!I143=""),"",Monthly_Prices_RAW!I144-Monthly_Prices_RAW!I143)</f>
        <v>-2.5</v>
      </c>
    </row>
    <row r="143" spans="1:8" x14ac:dyDescent="0.25">
      <c r="A143" s="1">
        <f>Monthly_Prices_RAW!B144</f>
        <v>44561</v>
      </c>
      <c r="B143">
        <f>IF(OR(Monthly_Prices_RAW!C145="",Monthly_Prices_RAW!C144=""),"",LN(Monthly_Prices_RAW!C145/Monthly_Prices_RAW!C144))</f>
        <v>6.4501516828027572E-2</v>
      </c>
      <c r="C143">
        <f>IF(OR(Monthly_Prices_RAW!D145="",Monthly_Prices_RAW!D144=""),"",LN(Monthly_Prices_RAW!D145/Monthly_Prices_RAW!D144))</f>
        <v>0.14959503481799885</v>
      </c>
      <c r="D143">
        <f>IF(OR(Monthly_Prices_RAW!E145="",Monthly_Prices_RAW!E144=""),"",LN(Monthly_Prices_RAW!E145/Monthly_Prices_RAW!E144))</f>
        <v>-3.1636684872850297E-2</v>
      </c>
      <c r="E143">
        <f>IF(OR(Monthly_Prices_RAW!F145="",Monthly_Prices_RAW!F144=""),"",LN(Monthly_Prices_RAW!F145/Monthly_Prices_RAW!F144))</f>
        <v>7.3293494774073834E-2</v>
      </c>
      <c r="F143">
        <f>IF(OR(Monthly_Prices_RAW!G145="",Monthly_Prices_RAW!G144=""),"",LN(Monthly_Prices_RAW!G145/Monthly_Prices_RAW!G144))</f>
        <v>-2.7356904915313743E-2</v>
      </c>
      <c r="G143">
        <f>IF(OR(Monthly_Prices_RAW!H145="",Monthly_Prices_RAW!H144=""),"",LN(Monthly_Prices_RAW!H145/Monthly_Prices_RAW!H144))</f>
        <v>-5.401814986501885E-2</v>
      </c>
      <c r="H143">
        <f>IF(OR(Monthly_Prices_RAW!I145="",Monthly_Prices_RAW!I144=""),"",Monthly_Prices_RAW!I145-Monthly_Prices_RAW!I144)</f>
        <v>-0.89999999999999858</v>
      </c>
    </row>
    <row r="144" spans="1:8" x14ac:dyDescent="0.25">
      <c r="A144" s="1">
        <f>Monthly_Prices_RAW!B145</f>
        <v>44592</v>
      </c>
      <c r="B144">
        <f>IF(OR(Monthly_Prices_RAW!C146="",Monthly_Prices_RAW!C145=""),"",LN(Monthly_Prices_RAW!C146/Monthly_Prices_RAW!C145))</f>
        <v>9.5819118258583955E-2</v>
      </c>
      <c r="C144">
        <f>IF(OR(Monthly_Prices_RAW!D146="",Monthly_Prices_RAW!D145=""),"",LN(Monthly_Prices_RAW!D146/Monthly_Prices_RAW!D145))</f>
        <v>-4.8318577270807683E-2</v>
      </c>
      <c r="D144">
        <f>IF(OR(Monthly_Prices_RAW!E146="",Monthly_Prices_RAW!E145=""),"",LN(Monthly_Prices_RAW!E146/Monthly_Prices_RAW!E145))</f>
        <v>2.7370849935163089E-2</v>
      </c>
      <c r="E144">
        <f>IF(OR(Monthly_Prices_RAW!F146="",Monthly_Prices_RAW!F145=""),"",LN(Monthly_Prices_RAW!F146/Monthly_Prices_RAW!F145))</f>
        <v>0.10887963901404248</v>
      </c>
      <c r="F144">
        <f>IF(OR(Monthly_Prices_RAW!G146="",Monthly_Prices_RAW!G145=""),"",LN(Monthly_Prices_RAW!G146/Monthly_Prices_RAW!G145))</f>
        <v>2.7356904915313899E-2</v>
      </c>
      <c r="G144">
        <f>IF(OR(Monthly_Prices_RAW!H146="",Monthly_Prices_RAW!H145=""),"",LN(Monthly_Prices_RAW!H146/Monthly_Prices_RAW!H145))</f>
        <v>-3.1862790878923103E-2</v>
      </c>
      <c r="H144">
        <f>IF(OR(Monthly_Prices_RAW!I146="",Monthly_Prices_RAW!I145=""),"",Monthly_Prices_RAW!I146-Monthly_Prices_RAW!I145)</f>
        <v>0.70000000000000284</v>
      </c>
    </row>
    <row r="145" spans="1:8" x14ac:dyDescent="0.25">
      <c r="A145" s="1">
        <f>Monthly_Prices_RAW!B146</f>
        <v>44620</v>
      </c>
      <c r="B145">
        <f>IF(OR(Monthly_Prices_RAW!C147="",Monthly_Prices_RAW!C146=""),"",LN(Monthly_Prices_RAW!C147/Monthly_Prices_RAW!C146))</f>
        <v>8.4927877874440991E-2</v>
      </c>
      <c r="C145">
        <f>IF(OR(Monthly_Prices_RAW!D147="",Monthly_Prices_RAW!D146=""),"",LN(Monthly_Prices_RAW!D147/Monthly_Prices_RAW!D146))</f>
        <v>0.12100775365222832</v>
      </c>
      <c r="D145">
        <f>IF(OR(Monthly_Prices_RAW!E147="",Monthly_Prices_RAW!E146=""),"",LN(Monthly_Prices_RAW!E147/Monthly_Prices_RAW!E146))</f>
        <v>6.6687745505191701E-2</v>
      </c>
      <c r="E145">
        <f>IF(OR(Monthly_Prices_RAW!F147="",Monthly_Prices_RAW!F146=""),"",LN(Monthly_Prices_RAW!F147/Monthly_Prices_RAW!F146))</f>
        <v>3.572068670432145E-2</v>
      </c>
      <c r="F145">
        <f>IF(OR(Monthly_Prices_RAW!G147="",Monthly_Prices_RAW!G146=""),"",LN(Monthly_Prices_RAW!G147/Monthly_Prices_RAW!G146))</f>
        <v>2.9707169301923235E-2</v>
      </c>
      <c r="G145">
        <f>IF(OR(Monthly_Prices_RAW!H147="",Monthly_Prices_RAW!H146=""),"",LN(Monthly_Prices_RAW!H147/Monthly_Prices_RAW!H146))</f>
        <v>3.5148238386268404E-2</v>
      </c>
      <c r="H145">
        <f>IF(OR(Monthly_Prices_RAW!I147="",Monthly_Prices_RAW!I146=""),"",Monthly_Prices_RAW!I147-Monthly_Prices_RAW!I146)</f>
        <v>-0.89999999999999858</v>
      </c>
    </row>
    <row r="146" spans="1:8" x14ac:dyDescent="0.25">
      <c r="A146" s="1">
        <f>Monthly_Prices_RAW!B147</f>
        <v>44651</v>
      </c>
      <c r="B146">
        <f>IF(OR(Monthly_Prices_RAW!C148="",Monthly_Prices_RAW!C147=""),"",LN(Monthly_Prices_RAW!C148/Monthly_Prices_RAW!C147))</f>
        <v>-0.12264574083993872</v>
      </c>
      <c r="C146">
        <f>IF(OR(Monthly_Prices_RAW!D148="",Monthly_Prices_RAW!D147=""),"",LN(Monthly_Prices_RAW!D148/Monthly_Prices_RAW!D147))</f>
        <v>-6.4496413805976788E-2</v>
      </c>
      <c r="D146">
        <f>IF(OR(Monthly_Prices_RAW!E148="",Monthly_Prices_RAW!E147=""),"",LN(Monthly_Prices_RAW!E148/Monthly_Prices_RAW!E147))</f>
        <v>-7.7887591067644035E-2</v>
      </c>
      <c r="E146">
        <f>IF(OR(Monthly_Prices_RAW!F148="",Monthly_Prices_RAW!F147=""),"",LN(Monthly_Prices_RAW!F148/Monthly_Prices_RAW!F147))</f>
        <v>-0.13422730112017633</v>
      </c>
      <c r="F146">
        <f>IF(OR(Monthly_Prices_RAW!G148="",Monthly_Prices_RAW!G147=""),"",LN(Monthly_Prices_RAW!G148/Monthly_Prices_RAW!G147))</f>
        <v>-5.7913451391744669E-2</v>
      </c>
      <c r="G146">
        <f>IF(OR(Monthly_Prices_RAW!H148="",Monthly_Prices_RAW!H147=""),"",LN(Monthly_Prices_RAW!H148/Monthly_Prices_RAW!H147))</f>
        <v>-9.2067832960435178E-2</v>
      </c>
      <c r="H146">
        <f>IF(OR(Monthly_Prices_RAW!I148="",Monthly_Prices_RAW!I147=""),"",Monthly_Prices_RAW!I148-Monthly_Prices_RAW!I147)</f>
        <v>-1.9000000000000057</v>
      </c>
    </row>
    <row r="147" spans="1:8" x14ac:dyDescent="0.25">
      <c r="A147" s="1">
        <f>Monthly_Prices_RAW!B148</f>
        <v>44681</v>
      </c>
      <c r="B147">
        <f>IF(OR(Monthly_Prices_RAW!C149="",Monthly_Prices_RAW!C148=""),"",LN(Monthly_Prices_RAW!C149/Monthly_Prices_RAW!C148))</f>
        <v>3.2099696580526922E-2</v>
      </c>
      <c r="C147">
        <f>IF(OR(Monthly_Prices_RAW!D149="",Monthly_Prices_RAW!D148=""),"",LN(Monthly_Prices_RAW!D149/Monthly_Prices_RAW!D148))</f>
        <v>-1.8731508118067213E-3</v>
      </c>
      <c r="D147">
        <f>IF(OR(Monthly_Prices_RAW!E149="",Monthly_Prices_RAW!E148=""),"",LN(Monthly_Prices_RAW!E149/Monthly_Prices_RAW!E148))</f>
        <v>-2.2783173930576734E-2</v>
      </c>
      <c r="E147">
        <f>IF(OR(Monthly_Prices_RAW!F149="",Monthly_Prices_RAW!F148=""),"",LN(Monthly_Prices_RAW!F149/Monthly_Prices_RAW!F148))</f>
        <v>-9.0995178502911556E-2</v>
      </c>
      <c r="F147">
        <f>IF(OR(Monthly_Prices_RAW!G149="",Monthly_Prices_RAW!G148=""),"",LN(Monthly_Prices_RAW!G149/Monthly_Prices_RAW!G148))</f>
        <v>1.629478391372513E-2</v>
      </c>
      <c r="G147">
        <f>IF(OR(Monthly_Prices_RAW!H149="",Monthly_Prices_RAW!H148=""),"",LN(Monthly_Prices_RAW!H149/Monthly_Prices_RAW!H148))</f>
        <v>5.3242466203463356E-5</v>
      </c>
      <c r="H147">
        <f>IF(OR(Monthly_Prices_RAW!I149="",Monthly_Prices_RAW!I148=""),"",Monthly_Prices_RAW!I149-Monthly_Prices_RAW!I148)</f>
        <v>0.60000000000000142</v>
      </c>
    </row>
    <row r="148" spans="1:8" x14ac:dyDescent="0.25">
      <c r="A148" s="1">
        <f>Monthly_Prices_RAW!B149</f>
        <v>44712</v>
      </c>
      <c r="B148">
        <f>IF(OR(Monthly_Prices_RAW!C150="",Monthly_Prices_RAW!C149=""),"",LN(Monthly_Prices_RAW!C150/Monthly_Prices_RAW!C149))</f>
        <v>-0.18559435981207942</v>
      </c>
      <c r="C148">
        <f>IF(OR(Monthly_Prices_RAW!D150="",Monthly_Prices_RAW!D149=""),"",LN(Monthly_Prices_RAW!D150/Monthly_Prices_RAW!D149))</f>
        <v>-0.14337202069498681</v>
      </c>
      <c r="D148">
        <f>IF(OR(Monthly_Prices_RAW!E150="",Monthly_Prices_RAW!E149=""),"",LN(Monthly_Prices_RAW!E150/Monthly_Prices_RAW!E149))</f>
        <v>-0.14544027759683975</v>
      </c>
      <c r="E148">
        <f>IF(OR(Monthly_Prices_RAW!F150="",Monthly_Prices_RAW!F149=""),"",LN(Monthly_Prices_RAW!F150/Monthly_Prices_RAW!F149))</f>
        <v>-0.13071614750253638</v>
      </c>
      <c r="F148">
        <f>IF(OR(Monthly_Prices_RAW!G150="",Monthly_Prices_RAW!G149=""),"",LN(Monthly_Prices_RAW!G150/Monthly_Prices_RAW!G149))</f>
        <v>-3.8925368726596341E-2</v>
      </c>
      <c r="G148">
        <f>IF(OR(Monthly_Prices_RAW!H150="",Monthly_Prices_RAW!H149=""),"",LN(Monthly_Prices_RAW!H150/Monthly_Prices_RAW!H149))</f>
        <v>-8.7651574480173397E-2</v>
      </c>
      <c r="H148">
        <f>IF(OR(Monthly_Prices_RAW!I150="",Monthly_Prices_RAW!I149=""),"",Monthly_Prices_RAW!I150-Monthly_Prices_RAW!I149)</f>
        <v>-2.3999999999999986</v>
      </c>
    </row>
    <row r="149" spans="1:8" x14ac:dyDescent="0.25">
      <c r="A149" s="1">
        <f>Monthly_Prices_RAW!B150</f>
        <v>44742</v>
      </c>
      <c r="B149">
        <f>IF(OR(Monthly_Prices_RAW!C151="",Monthly_Prices_RAW!C150=""),"",LN(Monthly_Prices_RAW!C151/Monthly_Prices_RAW!C150))</f>
        <v>4.9144299023931007E-4</v>
      </c>
      <c r="C149">
        <f>IF(OR(Monthly_Prices_RAW!D151="",Monthly_Prices_RAW!D150=""),"",LN(Monthly_Prices_RAW!D151/Monthly_Prices_RAW!D150))</f>
        <v>-0.10206713831658448</v>
      </c>
      <c r="D149">
        <f>IF(OR(Monthly_Prices_RAW!E151="",Monthly_Prices_RAW!E150=""),"",LN(Monthly_Prices_RAW!E151/Monthly_Prices_RAW!E150))</f>
        <v>-3.8698571931827283E-2</v>
      </c>
      <c r="E149">
        <f>IF(OR(Monthly_Prices_RAW!F151="",Monthly_Prices_RAW!F150=""),"",LN(Monthly_Prices_RAW!F151/Monthly_Prices_RAW!F150))</f>
        <v>1.7430518319196973E-2</v>
      </c>
      <c r="F149">
        <f>IF(OR(Monthly_Prices_RAW!G151="",Monthly_Prices_RAW!G150=""),"",LN(Monthly_Prices_RAW!G151/Monthly_Prices_RAW!G150))</f>
        <v>1.1808892987586677E-2</v>
      </c>
      <c r="G149">
        <f>IF(OR(Monthly_Prices_RAW!H151="",Monthly_Prices_RAW!H150=""),"",LN(Monthly_Prices_RAW!H151/Monthly_Prices_RAW!H150))</f>
        <v>8.7201344274224588E-2</v>
      </c>
      <c r="H149">
        <f>IF(OR(Monthly_Prices_RAW!I151="",Monthly_Prices_RAW!I150=""),"",Monthly_Prices_RAW!I151-Monthly_Prices_RAW!I150)</f>
        <v>-0.60000000000000142</v>
      </c>
    </row>
    <row r="150" spans="1:8" x14ac:dyDescent="0.25">
      <c r="A150" s="1">
        <f>Monthly_Prices_RAW!B151</f>
        <v>44773</v>
      </c>
      <c r="B150">
        <f>IF(OR(Monthly_Prices_RAW!C152="",Monthly_Prices_RAW!C151=""),"",LN(Monthly_Prices_RAW!C152/Monthly_Prices_RAW!C151))</f>
        <v>-3.7296485943621359E-2</v>
      </c>
      <c r="C150">
        <f>IF(OR(Monthly_Prices_RAW!D152="",Monthly_Prices_RAW!D151=""),"",LN(Monthly_Prices_RAW!D152/Monthly_Prices_RAW!D151))</f>
        <v>-9.095808417153245E-2</v>
      </c>
      <c r="D150">
        <f>IF(OR(Monthly_Prices_RAW!E152="",Monthly_Prices_RAW!E151=""),"",LN(Monthly_Prices_RAW!E152/Monthly_Prices_RAW!E151))</f>
        <v>-1.5510745253429981E-2</v>
      </c>
      <c r="E150">
        <f>IF(OR(Monthly_Prices_RAW!F152="",Monthly_Prices_RAW!F151=""),"",LN(Monthly_Prices_RAW!F152/Monthly_Prices_RAW!F151))</f>
        <v>-5.3442318890933836E-2</v>
      </c>
      <c r="F150">
        <f>IF(OR(Monthly_Prices_RAW!G152="",Monthly_Prices_RAW!G151=""),"",LN(Monthly_Prices_RAW!G152/Monthly_Prices_RAW!G151))</f>
        <v>-2.0684906153512189E-2</v>
      </c>
      <c r="G150">
        <f>IF(OR(Monthly_Prices_RAW!H152="",Monthly_Prices_RAW!H151=""),"",LN(Monthly_Prices_RAW!H152/Monthly_Prices_RAW!H151))</f>
        <v>-4.3367021205837172E-2</v>
      </c>
      <c r="H150">
        <f>IF(OR(Monthly_Prices_RAW!I152="",Monthly_Prices_RAW!I151=""),"",Monthly_Prices_RAW!I152-Monthly_Prices_RAW!I151)</f>
        <v>0.10000000000000142</v>
      </c>
    </row>
    <row r="151" spans="1:8" x14ac:dyDescent="0.25">
      <c r="A151" s="1">
        <f>Monthly_Prices_RAW!B152</f>
        <v>44804</v>
      </c>
      <c r="B151">
        <f>IF(OR(Monthly_Prices_RAW!C153="",Monthly_Prices_RAW!C152=""),"",LN(Monthly_Prices_RAW!C153/Monthly_Prices_RAW!C152))</f>
        <v>-2.2092653001692775E-2</v>
      </c>
      <c r="C151">
        <f>IF(OR(Monthly_Prices_RAW!D153="",Monthly_Prices_RAW!D152=""),"",LN(Monthly_Prices_RAW!D153/Monthly_Prices_RAW!D152))</f>
        <v>3.6678060505451315E-3</v>
      </c>
      <c r="D151">
        <f>IF(OR(Monthly_Prices_RAW!E153="",Monthly_Prices_RAW!E152=""),"",LN(Monthly_Prices_RAW!E153/Monthly_Prices_RAW!E152))</f>
        <v>-3.058960191338848E-2</v>
      </c>
      <c r="E151">
        <f>IF(OR(Monthly_Prices_RAW!F153="",Monthly_Prices_RAW!F152=""),"",LN(Monthly_Prices_RAW!F153/Monthly_Prices_RAW!F152))</f>
        <v>-8.7204081208521439E-2</v>
      </c>
      <c r="F151">
        <f>IF(OR(Monthly_Prices_RAW!G153="",Monthly_Prices_RAW!G152=""),"",LN(Monthly_Prices_RAW!G153/Monthly_Prices_RAW!G152))</f>
        <v>-6.6782096189786769E-2</v>
      </c>
      <c r="G151">
        <f>IF(OR(Monthly_Prices_RAW!H153="",Monthly_Prices_RAW!H152=""),"",LN(Monthly_Prices_RAW!H153/Monthly_Prices_RAW!H152))</f>
        <v>-9.8049199303624351E-2</v>
      </c>
      <c r="H151">
        <f>IF(OR(Monthly_Prices_RAW!I153="",Monthly_Prices_RAW!I152=""),"",Monthly_Prices_RAW!I153-Monthly_Prices_RAW!I152)</f>
        <v>-1.8999999999999986</v>
      </c>
    </row>
    <row r="152" spans="1:8" x14ac:dyDescent="0.25">
      <c r="A152" s="1">
        <f>Monthly_Prices_RAW!B153</f>
        <v>44834</v>
      </c>
      <c r="B152">
        <f>IF(OR(Monthly_Prices_RAW!C154="",Monthly_Prices_RAW!C153=""),"",LN(Monthly_Prices_RAW!C154/Monthly_Prices_RAW!C153))</f>
        <v>-3.1549479100205356E-2</v>
      </c>
      <c r="C152">
        <f>IF(OR(Monthly_Prices_RAW!D154="",Monthly_Prices_RAW!D153=""),"",LN(Monthly_Prices_RAW!D154/Monthly_Prices_RAW!D153))</f>
        <v>-0.19186485752441196</v>
      </c>
      <c r="D152">
        <f>IF(OR(Monthly_Prices_RAW!E154="",Monthly_Prices_RAW!E153=""),"",LN(Monthly_Prices_RAW!E154/Monthly_Prices_RAW!E153))</f>
        <v>-1.1049836186584935E-2</v>
      </c>
      <c r="E152">
        <f>IF(OR(Monthly_Prices_RAW!F154="",Monthly_Prices_RAW!F153=""),"",LN(Monthly_Prices_RAW!F154/Monthly_Prices_RAW!F153))</f>
        <v>2.7373972000421673E-2</v>
      </c>
      <c r="F152">
        <f>IF(OR(Monthly_Prices_RAW!G154="",Monthly_Prices_RAW!G153=""),"",LN(Monthly_Prices_RAW!G154/Monthly_Prices_RAW!G153))</f>
        <v>-1.5626220830293369E-4</v>
      </c>
      <c r="G152">
        <f>IF(OR(Monthly_Prices_RAW!H154="",Monthly_Prices_RAW!H153=""),"",LN(Monthly_Prices_RAW!H154/Monthly_Prices_RAW!H153))</f>
        <v>7.6834602195741328E-2</v>
      </c>
      <c r="H152">
        <f>IF(OR(Monthly_Prices_RAW!I154="",Monthly_Prices_RAW!I153=""),"",Monthly_Prices_RAW!I154-Monthly_Prices_RAW!I153)</f>
        <v>-0.80000000000000426</v>
      </c>
    </row>
    <row r="153" spans="1:8" x14ac:dyDescent="0.25">
      <c r="A153" s="1">
        <f>Monthly_Prices_RAW!B154</f>
        <v>44865</v>
      </c>
      <c r="B153">
        <f>IF(OR(Monthly_Prices_RAW!C155="",Monthly_Prices_RAW!C154=""),"",LN(Monthly_Prices_RAW!C155/Monthly_Prices_RAW!C154))</f>
        <v>0.25200141815523652</v>
      </c>
      <c r="C153">
        <f>IF(OR(Monthly_Prices_RAW!D155="",Monthly_Prices_RAW!D154=""),"",LN(Monthly_Prices_RAW!D155/Monthly_Prices_RAW!D154))</f>
        <v>0.20547475021351502</v>
      </c>
      <c r="D153">
        <f>IF(OR(Monthly_Prices_RAW!E155="",Monthly_Prices_RAW!E154=""),"",LN(Monthly_Prices_RAW!E155/Monthly_Prices_RAW!E154))</f>
        <v>9.9878852088587738E-2</v>
      </c>
      <c r="E153">
        <f>IF(OR(Monthly_Prices_RAW!F155="",Monthly_Prices_RAW!F154=""),"",LN(Monthly_Prices_RAW!F155/Monthly_Prices_RAW!F154))</f>
        <v>0.10884229600456775</v>
      </c>
      <c r="F153">
        <f>IF(OR(Monthly_Prices_RAW!G155="",Monthly_Prices_RAW!G154=""),"",LN(Monthly_Prices_RAW!G155/Monthly_Prices_RAW!G154))</f>
        <v>5.9014619214656477E-2</v>
      </c>
      <c r="G153">
        <f>IF(OR(Monthly_Prices_RAW!H155="",Monthly_Prices_RAW!H154=""),"",LN(Monthly_Prices_RAW!H155/Monthly_Prices_RAW!H154))</f>
        <v>5.2357944725214406E-2</v>
      </c>
      <c r="H153">
        <f>IF(OR(Monthly_Prices_RAW!I155="",Monthly_Prices_RAW!I154=""),"",Monthly_Prices_RAW!I155-Monthly_Prices_RAW!I154)</f>
        <v>-1.2999999999999972</v>
      </c>
    </row>
    <row r="154" spans="1:8" x14ac:dyDescent="0.25">
      <c r="A154" s="1">
        <f>Monthly_Prices_RAW!B155</f>
        <v>44895</v>
      </c>
      <c r="B154">
        <f>IF(OR(Monthly_Prices_RAW!C156="",Monthly_Prices_RAW!C155=""),"",LN(Monthly_Prices_RAW!C156/Monthly_Prices_RAW!C155))</f>
        <v>3.6617261716148417E-2</v>
      </c>
      <c r="C154">
        <f>IF(OR(Monthly_Prices_RAW!D156="",Monthly_Prices_RAW!D155=""),"",LN(Monthly_Prices_RAW!D156/Monthly_Prices_RAW!D155))</f>
        <v>0.14185492626760379</v>
      </c>
      <c r="D154">
        <f>IF(OR(Monthly_Prices_RAW!E156="",Monthly_Prices_RAW!E155=""),"",LN(Monthly_Prices_RAW!E156/Monthly_Prices_RAW!E155))</f>
        <v>2.1486237710954328E-2</v>
      </c>
      <c r="E154">
        <f>IF(OR(Monthly_Prices_RAW!F156="",Monthly_Prices_RAW!F155=""),"",LN(Monthly_Prices_RAW!F156/Monthly_Prices_RAW!F155))</f>
        <v>-4.0990188953415871E-2</v>
      </c>
      <c r="F154">
        <f>IF(OR(Monthly_Prices_RAW!G156="",Monthly_Prices_RAW!G155=""),"",LN(Monthly_Prices_RAW!G156/Monthly_Prices_RAW!G155))</f>
        <v>3.6762044195513669E-3</v>
      </c>
      <c r="G154">
        <f>IF(OR(Monthly_Prices_RAW!H156="",Monthly_Prices_RAW!H155=""),"",LN(Monthly_Prices_RAW!H156/Monthly_Prices_RAW!H155))</f>
        <v>-6.0781799048487496E-2</v>
      </c>
      <c r="H154">
        <f>IF(OR(Monthly_Prices_RAW!I156="",Monthly_Prices_RAW!I155=""),"",Monthly_Prices_RAW!I156-Monthly_Prices_RAW!I155)</f>
        <v>-1</v>
      </c>
    </row>
    <row r="155" spans="1:8" x14ac:dyDescent="0.25">
      <c r="A155" s="1">
        <f>Monthly_Prices_RAW!B156</f>
        <v>44926</v>
      </c>
      <c r="B155">
        <f>IF(OR(Monthly_Prices_RAW!C157="",Monthly_Prices_RAW!C156=""),"",LN(Monthly_Prices_RAW!C157/Monthly_Prices_RAW!C156))</f>
        <v>0.10837517781426352</v>
      </c>
      <c r="C155">
        <f>IF(OR(Monthly_Prices_RAW!D157="",Monthly_Prices_RAW!D156=""),"",LN(Monthly_Prices_RAW!D157/Monthly_Prices_RAW!D156))</f>
        <v>5.3944683224415632E-2</v>
      </c>
      <c r="D155">
        <f>IF(OR(Monthly_Prices_RAW!E157="",Monthly_Prices_RAW!E156=""),"",LN(Monthly_Prices_RAW!E157/Monthly_Prices_RAW!E156))</f>
        <v>0.1034955050698298</v>
      </c>
      <c r="E155">
        <f>IF(OR(Monthly_Prices_RAW!F157="",Monthly_Prices_RAW!F156=""),"",LN(Monthly_Prices_RAW!F157/Monthly_Prices_RAW!F156))</f>
        <v>0.10603312372084982</v>
      </c>
      <c r="F155">
        <f>IF(OR(Monthly_Prices_RAW!G157="",Monthly_Prices_RAW!G156=""),"",LN(Monthly_Prices_RAW!G157/Monthly_Prices_RAW!G156))</f>
        <v>3.4904033513246301E-2</v>
      </c>
      <c r="G155">
        <f>IF(OR(Monthly_Prices_RAW!H157="",Monthly_Prices_RAW!H156=""),"",LN(Monthly_Prices_RAW!H157/Monthly_Prices_RAW!H156))</f>
        <v>5.9921157879031649E-2</v>
      </c>
      <c r="H155">
        <f>IF(OR(Monthly_Prices_RAW!I157="",Monthly_Prices_RAW!I156=""),"",Monthly_Prices_RAW!I157-Monthly_Prices_RAW!I156)</f>
        <v>-0.89999999999999858</v>
      </c>
    </row>
    <row r="156" spans="1:8" x14ac:dyDescent="0.25">
      <c r="A156" s="1">
        <f>Monthly_Prices_RAW!B157</f>
        <v>44957</v>
      </c>
      <c r="B156">
        <f>IF(OR(Monthly_Prices_RAW!C158="",Monthly_Prices_RAW!C157=""),"",LN(Monthly_Prices_RAW!C158/Monthly_Prices_RAW!C157))</f>
        <v>-0.12923737657617432</v>
      </c>
      <c r="C156">
        <f>IF(OR(Monthly_Prices_RAW!D158="",Monthly_Prices_RAW!D157=""),"",LN(Monthly_Prices_RAW!D158/Monthly_Prices_RAW!D157))</f>
        <v>-8.5201162934124171E-3</v>
      </c>
      <c r="D156">
        <f>IF(OR(Monthly_Prices_RAW!E158="",Monthly_Prices_RAW!E157=""),"",LN(Monthly_Prices_RAW!E158/Monthly_Prices_RAW!E157))</f>
        <v>-3.0878887558017307E-2</v>
      </c>
      <c r="E156">
        <f>IF(OR(Monthly_Prices_RAW!F158="",Monthly_Prices_RAW!F157=""),"",LN(Monthly_Prices_RAW!F158/Monthly_Prices_RAW!F157))</f>
        <v>-0.10813794453581334</v>
      </c>
      <c r="F156">
        <f>IF(OR(Monthly_Prices_RAW!G158="",Monthly_Prices_RAW!G157=""),"",LN(Monthly_Prices_RAW!G158/Monthly_Prices_RAW!G157))</f>
        <v>-4.7310041098596288E-2</v>
      </c>
      <c r="G156">
        <f>IF(OR(Monthly_Prices_RAW!H158="",Monthly_Prices_RAW!H157=""),"",LN(Monthly_Prices_RAW!H158/Monthly_Prices_RAW!H157))</f>
        <v>-2.645943030685264E-2</v>
      </c>
      <c r="H156">
        <f>IF(OR(Monthly_Prices_RAW!I158="",Monthly_Prices_RAW!I157=""),"",Monthly_Prices_RAW!I158-Monthly_Prices_RAW!I157)</f>
        <v>0.19999999999999574</v>
      </c>
    </row>
    <row r="157" spans="1:8" x14ac:dyDescent="0.25">
      <c r="A157" s="1">
        <f>Monthly_Prices_RAW!B158</f>
        <v>44985</v>
      </c>
      <c r="B157">
        <f>IF(OR(Monthly_Prices_RAW!C159="",Monthly_Prices_RAW!C158=""),"",LN(Monthly_Prices_RAW!C159/Monthly_Prices_RAW!C158))</f>
        <v>1.6110914113110317E-2</v>
      </c>
      <c r="C157">
        <f>IF(OR(Monthly_Prices_RAW!D159="",Monthly_Prices_RAW!D158=""),"",LN(Monthly_Prices_RAW!D159/Monthly_Prices_RAW!D158))</f>
        <v>4.0989688168310077E-2</v>
      </c>
      <c r="D157">
        <f>IF(OR(Monthly_Prices_RAW!E159="",Monthly_Prices_RAW!E158=""),"",LN(Monthly_Prices_RAW!E159/Monthly_Prices_RAW!E158))</f>
        <v>-7.3242190774179875E-4</v>
      </c>
      <c r="E157">
        <f>IF(OR(Monthly_Prices_RAW!F159="",Monthly_Prices_RAW!F158=""),"",LN(Monthly_Prices_RAW!F159/Monthly_Prices_RAW!F158))</f>
        <v>1.6715809189268089E-2</v>
      </c>
      <c r="F157">
        <f>IF(OR(Monthly_Prices_RAW!G159="",Monthly_Prices_RAW!G158=""),"",LN(Monthly_Prices_RAW!G159/Monthly_Prices_RAW!G158))</f>
        <v>-6.560333652274571E-3</v>
      </c>
      <c r="G157">
        <f>IF(OR(Monthly_Prices_RAW!H159="",Monthly_Prices_RAW!H158=""),"",LN(Monthly_Prices_RAW!H159/Monthly_Prices_RAW!H158))</f>
        <v>3.4451253841860437E-2</v>
      </c>
      <c r="H157">
        <f>IF(OR(Monthly_Prices_RAW!I159="",Monthly_Prices_RAW!I158=""),"",Monthly_Prices_RAW!I159-Monthly_Prices_RAW!I158)</f>
        <v>-1</v>
      </c>
    </row>
    <row r="158" spans="1:8" x14ac:dyDescent="0.25">
      <c r="A158" s="1">
        <f>Monthly_Prices_RAW!B159</f>
        <v>45016</v>
      </c>
      <c r="B158">
        <f>IF(OR(Monthly_Prices_RAW!C160="",Monthly_Prices_RAW!C159=""),"",LN(Monthly_Prices_RAW!C160/Monthly_Prices_RAW!C159))</f>
        <v>-6.9565946404785209E-2</v>
      </c>
      <c r="C158">
        <f>IF(OR(Monthly_Prices_RAW!D160="",Monthly_Prices_RAW!D159=""),"",LN(Monthly_Prices_RAW!D160/Monthly_Prices_RAW!D159))</f>
        <v>-0.13400081008608336</v>
      </c>
      <c r="D158">
        <f>IF(OR(Monthly_Prices_RAW!E160="",Monthly_Prices_RAW!E159=""),"",LN(Monthly_Prices_RAW!E160/Monthly_Prices_RAW!E159))</f>
        <v>-5.6390102686415464E-2</v>
      </c>
      <c r="E158">
        <f>IF(OR(Monthly_Prices_RAW!F160="",Monthly_Prices_RAW!F159=""),"",LN(Monthly_Prices_RAW!F160/Monthly_Prices_RAW!F159))</f>
        <v>-2.3905520853554366E-2</v>
      </c>
      <c r="F158">
        <f>IF(OR(Monthly_Prices_RAW!G160="",Monthly_Prices_RAW!G159=""),"",LN(Monthly_Prices_RAW!G160/Monthly_Prices_RAW!G159))</f>
        <v>-1.0526412986987504E-2</v>
      </c>
      <c r="G158">
        <f>IF(OR(Monthly_Prices_RAW!H160="",Monthly_Prices_RAW!H159=""),"",LN(Monthly_Prices_RAW!H160/Monthly_Prices_RAW!H159))</f>
        <v>1.4536196592679839E-2</v>
      </c>
      <c r="H158">
        <f>IF(OR(Monthly_Prices_RAW!I160="",Monthly_Prices_RAW!I159=""),"",Monthly_Prices_RAW!I160-Monthly_Prices_RAW!I159)</f>
        <v>0.40000000000000568</v>
      </c>
    </row>
    <row r="159" spans="1:8" x14ac:dyDescent="0.25">
      <c r="A159" s="1">
        <f>Monthly_Prices_RAW!B160</f>
        <v>45046</v>
      </c>
      <c r="B159">
        <f>IF(OR(Monthly_Prices_RAW!C161="",Monthly_Prices_RAW!C160=""),"",LN(Monthly_Prices_RAW!C161/Monthly_Prices_RAW!C160))</f>
        <v>-8.0342356148664459E-2</v>
      </c>
      <c r="C159">
        <f>IF(OR(Monthly_Prices_RAW!D161="",Monthly_Prices_RAW!D160=""),"",LN(Monthly_Prices_RAW!D161/Monthly_Prices_RAW!D160))</f>
        <v>-7.8603858504437282E-2</v>
      </c>
      <c r="D159">
        <f>IF(OR(Monthly_Prices_RAW!E161="",Monthly_Prices_RAW!E160=""),"",LN(Monthly_Prices_RAW!E161/Monthly_Prices_RAW!E160))</f>
        <v>-6.2095341036838468E-2</v>
      </c>
      <c r="E159">
        <f>IF(OR(Monthly_Prices_RAW!F161="",Monthly_Prices_RAW!F160=""),"",LN(Monthly_Prices_RAW!F161/Monthly_Prices_RAW!F160))</f>
        <v>-4.781440947308889E-2</v>
      </c>
      <c r="F159">
        <f>IF(OR(Monthly_Prices_RAW!G161="",Monthly_Prices_RAW!G160=""),"",LN(Monthly_Prices_RAW!G161/Monthly_Prices_RAW!G160))</f>
        <v>-1.7076188679904212E-2</v>
      </c>
      <c r="G159">
        <f>IF(OR(Monthly_Prices_RAW!H161="",Monthly_Prices_RAW!H160=""),"",LN(Monthly_Prices_RAW!H161/Monthly_Prices_RAW!H160))</f>
        <v>2.4792480579840541E-3</v>
      </c>
      <c r="H159">
        <f>IF(OR(Monthly_Prices_RAW!I161="",Monthly_Prices_RAW!I160=""),"",Monthly_Prices_RAW!I161-Monthly_Prices_RAW!I160)</f>
        <v>-0.30000000000000426</v>
      </c>
    </row>
    <row r="160" spans="1:8" x14ac:dyDescent="0.25">
      <c r="A160" s="1">
        <f>Monthly_Prices_RAW!B161</f>
        <v>45077</v>
      </c>
      <c r="B160">
        <f>IF(OR(Monthly_Prices_RAW!C162="",Monthly_Prices_RAW!C161=""),"",LN(Monthly_Prices_RAW!C162/Monthly_Prices_RAW!C161))</f>
        <v>7.7996087377905754E-2</v>
      </c>
      <c r="C160">
        <f>IF(OR(Monthly_Prices_RAW!D162="",Monthly_Prices_RAW!D161=""),"",LN(Monthly_Prices_RAW!D162/Monthly_Prices_RAW!D161))</f>
        <v>9.527323922324539E-2</v>
      </c>
      <c r="D160">
        <f>IF(OR(Monthly_Prices_RAW!E162="",Monthly_Prices_RAW!E161=""),"",LN(Monthly_Prices_RAW!E162/Monthly_Prices_RAW!E161))</f>
        <v>2.819378936115725E-2</v>
      </c>
      <c r="E160">
        <f>IF(OR(Monthly_Prices_RAW!F162="",Monthly_Prices_RAW!F161=""),"",LN(Monthly_Prices_RAW!F162/Monthly_Prices_RAW!F161))</f>
        <v>-4.2985583019734167E-2</v>
      </c>
      <c r="F160">
        <f>IF(OR(Monthly_Prices_RAW!G162="",Monthly_Prices_RAW!G161=""),"",LN(Monthly_Prices_RAW!G162/Monthly_Prices_RAW!G161))</f>
        <v>2.4456295977526715E-2</v>
      </c>
      <c r="G160">
        <f>IF(OR(Monthly_Prices_RAW!H162="",Monthly_Prices_RAW!H161=""),"",LN(Monthly_Prices_RAW!H162/Monthly_Prices_RAW!H161))</f>
        <v>6.2718909937614448E-2</v>
      </c>
      <c r="H160">
        <f>IF(OR(Monthly_Prices_RAW!I162="",Monthly_Prices_RAW!I161=""),"",Monthly_Prices_RAW!I162-Monthly_Prices_RAW!I161)</f>
        <v>-0.10000000000000142</v>
      </c>
    </row>
    <row r="161" spans="1:8" x14ac:dyDescent="0.25">
      <c r="A161" s="1">
        <f>Monthly_Prices_RAW!B162</f>
        <v>45107</v>
      </c>
      <c r="B161">
        <f>IF(OR(Monthly_Prices_RAW!C163="",Monthly_Prices_RAW!C162=""),"",LN(Monthly_Prices_RAW!C163/Monthly_Prices_RAW!C162))</f>
        <v>4.1573570502023989E-2</v>
      </c>
      <c r="C161">
        <f>IF(OR(Monthly_Prices_RAW!D163="",Monthly_Prices_RAW!D162=""),"",LN(Monthly_Prices_RAW!D163/Monthly_Prices_RAW!D162))</f>
        <v>2.5800236849816898E-2</v>
      </c>
      <c r="D161">
        <f>IF(OR(Monthly_Prices_RAW!E163="",Monthly_Prices_RAW!E162=""),"",LN(Monthly_Prices_RAW!E163/Monthly_Prices_RAW!E162))</f>
        <v>6.8939408416554465E-2</v>
      </c>
      <c r="E161">
        <f>IF(OR(Monthly_Prices_RAW!F163="",Monthly_Prices_RAW!F162=""),"",LN(Monthly_Prices_RAW!F163/Monthly_Prices_RAW!F162))</f>
        <v>5.9106060190469226E-2</v>
      </c>
      <c r="F161">
        <f>IF(OR(Monthly_Prices_RAW!G163="",Monthly_Prices_RAW!G162=""),"",LN(Monthly_Prices_RAW!G163/Monthly_Prices_RAW!G162))</f>
        <v>7.9217214201857782E-3</v>
      </c>
      <c r="G161">
        <f>IF(OR(Monthly_Prices_RAW!H163="",Monthly_Prices_RAW!H162=""),"",LN(Monthly_Prices_RAW!H163/Monthly_Prices_RAW!H162))</f>
        <v>3.0663933087959953E-2</v>
      </c>
      <c r="H161">
        <f>IF(OR(Monthly_Prices_RAW!I163="",Monthly_Prices_RAW!I162=""),"",Monthly_Prices_RAW!I163-Monthly_Prices_RAW!I162)</f>
        <v>0.70000000000000284</v>
      </c>
    </row>
    <row r="162" spans="1:8" x14ac:dyDescent="0.25">
      <c r="A162" s="1">
        <f>Monthly_Prices_RAW!B163</f>
        <v>45138</v>
      </c>
      <c r="B162">
        <f>IF(OR(Monthly_Prices_RAW!C164="",Monthly_Prices_RAW!C163=""),"",LN(Monthly_Prices_RAW!C164/Monthly_Prices_RAW!C163))</f>
        <v>-3.434464987347343E-2</v>
      </c>
      <c r="C162">
        <f>IF(OR(Monthly_Prices_RAW!D164="",Monthly_Prices_RAW!D163=""),"",LN(Monthly_Prices_RAW!D164/Monthly_Prices_RAW!D163))</f>
        <v>2.1105908344733377E-2</v>
      </c>
      <c r="D162">
        <f>IF(OR(Monthly_Prices_RAW!E164="",Monthly_Prices_RAW!E163=""),"",LN(Monthly_Prices_RAW!E164/Monthly_Prices_RAW!E163))</f>
        <v>-6.0554452122696806E-2</v>
      </c>
      <c r="E162">
        <f>IF(OR(Monthly_Prices_RAW!F164="",Monthly_Prices_RAW!F163=""),"",LN(Monthly_Prices_RAW!F164/Monthly_Prices_RAW!F163))</f>
        <v>-3.318420507213761E-2</v>
      </c>
      <c r="F162">
        <f>IF(OR(Monthly_Prices_RAW!G164="",Monthly_Prices_RAW!G163=""),"",LN(Monthly_Prices_RAW!G164/Monthly_Prices_RAW!G163))</f>
        <v>-3.5304022411297771E-2</v>
      </c>
      <c r="G162">
        <f>IF(OR(Monthly_Prices_RAW!H164="",Monthly_Prices_RAW!H163=""),"",LN(Monthly_Prices_RAW!H164/Monthly_Prices_RAW!H163))</f>
        <v>-1.787524701848843E-2</v>
      </c>
      <c r="H162">
        <f>IF(OR(Monthly_Prices_RAW!I164="",Monthly_Prices_RAW!I163=""),"",Monthly_Prices_RAW!I164-Monthly_Prices_RAW!I163)</f>
        <v>1</v>
      </c>
    </row>
    <row r="163" spans="1:8" x14ac:dyDescent="0.25">
      <c r="A163" s="1">
        <f>Monthly_Prices_RAW!B164</f>
        <v>45169</v>
      </c>
      <c r="B163">
        <f>IF(OR(Monthly_Prices_RAW!C165="",Monthly_Prices_RAW!C164=""),"",LN(Monthly_Prices_RAW!C165/Monthly_Prices_RAW!C164))</f>
        <v>1.8075849015216611E-2</v>
      </c>
      <c r="C163">
        <f>IF(OR(Monthly_Prices_RAW!D165="",Monthly_Prices_RAW!D164=""),"",LN(Monthly_Prices_RAW!D165/Monthly_Prices_RAW!D164))</f>
        <v>2.9178867578889534E-2</v>
      </c>
      <c r="D163">
        <f>IF(OR(Monthly_Prices_RAW!E165="",Monthly_Prices_RAW!E164=""),"",LN(Monthly_Prices_RAW!E165/Monthly_Prices_RAW!E164))</f>
        <v>-9.3209729430621044E-3</v>
      </c>
      <c r="E163">
        <f>IF(OR(Monthly_Prices_RAW!F165="",Monthly_Prices_RAW!F164=""),"",LN(Monthly_Prices_RAW!F165/Monthly_Prices_RAW!F164))</f>
        <v>6.1050788454037559E-2</v>
      </c>
      <c r="F163">
        <f>IF(OR(Monthly_Prices_RAW!G165="",Monthly_Prices_RAW!G164=""),"",LN(Monthly_Prices_RAW!G165/Monthly_Prices_RAW!G164))</f>
        <v>-7.585762825339658E-3</v>
      </c>
      <c r="G163">
        <f>IF(OR(Monthly_Prices_RAW!H165="",Monthly_Prices_RAW!H164=""),"",LN(Monthly_Prices_RAW!H165/Monthly_Prices_RAW!H164))</f>
        <v>-4.9946087711970913E-2</v>
      </c>
      <c r="H163">
        <f>IF(OR(Monthly_Prices_RAW!I165="",Monthly_Prices_RAW!I164=""),"",Monthly_Prices_RAW!I165-Monthly_Prices_RAW!I164)</f>
        <v>0.70000000000000284</v>
      </c>
    </row>
    <row r="164" spans="1:8" x14ac:dyDescent="0.25">
      <c r="A164" s="1">
        <f>Monthly_Prices_RAW!B165</f>
        <v>45199</v>
      </c>
      <c r="B164">
        <f>IF(OR(Monthly_Prices_RAW!C166="",Monthly_Prices_RAW!C165=""),"",LN(Monthly_Prices_RAW!C166/Monthly_Prices_RAW!C165))</f>
        <v>1.0938667506136715E-2</v>
      </c>
      <c r="C164">
        <f>IF(OR(Monthly_Prices_RAW!D166="",Monthly_Prices_RAW!D165=""),"",LN(Monthly_Prices_RAW!D166/Monthly_Prices_RAW!D165))</f>
        <v>1.6214965395210404E-2</v>
      </c>
      <c r="D164">
        <f>IF(OR(Monthly_Prices_RAW!E166="",Monthly_Prices_RAW!E165=""),"",LN(Monthly_Prices_RAW!E166/Monthly_Prices_RAW!E165))</f>
        <v>-2.3963781262494308E-2</v>
      </c>
      <c r="E164">
        <f>IF(OR(Monthly_Prices_RAW!F166="",Monthly_Prices_RAW!F165=""),"",LN(Monthly_Prices_RAW!F166/Monthly_Prices_RAW!F165))</f>
        <v>-4.1541256109397164E-2</v>
      </c>
      <c r="F164">
        <f>IF(OR(Monthly_Prices_RAW!G166="",Monthly_Prices_RAW!G165=""),"",LN(Monthly_Prices_RAW!G166/Monthly_Prices_RAW!G165))</f>
        <v>-1.534637070670989E-2</v>
      </c>
      <c r="G164">
        <f>IF(OR(Monthly_Prices_RAW!H166="",Monthly_Prices_RAW!H165=""),"",LN(Monthly_Prices_RAW!H166/Monthly_Prices_RAW!H165))</f>
        <v>-2.2224839977771419E-2</v>
      </c>
      <c r="H164">
        <f>IF(OR(Monthly_Prices_RAW!I166="",Monthly_Prices_RAW!I165=""),"",Monthly_Prices_RAW!I166-Monthly_Prices_RAW!I165)</f>
        <v>-1.3000000000000043</v>
      </c>
    </row>
    <row r="165" spans="1:8" x14ac:dyDescent="0.25">
      <c r="A165" s="1">
        <f>Monthly_Prices_RAW!B166</f>
        <v>45230</v>
      </c>
      <c r="B165">
        <f>IF(OR(Monthly_Prices_RAW!C167="",Monthly_Prices_RAW!C166=""),"",LN(Monthly_Prices_RAW!C167/Monthly_Prices_RAW!C166))</f>
        <v>7.1228754679641765E-2</v>
      </c>
      <c r="C165">
        <f>IF(OR(Monthly_Prices_RAW!D167="",Monthly_Prices_RAW!D166=""),"",LN(Monthly_Prices_RAW!D167/Monthly_Prices_RAW!D166))</f>
        <v>5.3929815708680183E-2</v>
      </c>
      <c r="D165">
        <f>IF(OR(Monthly_Prices_RAW!E167="",Monthly_Prices_RAW!E166=""),"",LN(Monthly_Prices_RAW!E167/Monthly_Prices_RAW!E166))</f>
        <v>4.81505150408469E-2</v>
      </c>
      <c r="E165">
        <f>IF(OR(Monthly_Prices_RAW!F167="",Monthly_Prices_RAW!F166=""),"",LN(Monthly_Prices_RAW!F167/Monthly_Prices_RAW!F166))</f>
        <v>-2.6326191323738091E-2</v>
      </c>
      <c r="F165">
        <f>IF(OR(Monthly_Prices_RAW!G167="",Monthly_Prices_RAW!G166=""),"",LN(Monthly_Prices_RAW!G167/Monthly_Prices_RAW!G166))</f>
        <v>4.1421467632908535E-2</v>
      </c>
      <c r="G165">
        <f>IF(OR(Monthly_Prices_RAW!H167="",Monthly_Prices_RAW!H166=""),"",LN(Monthly_Prices_RAW!H167/Monthly_Prices_RAW!H166))</f>
        <v>8.5424444387576737E-2</v>
      </c>
      <c r="H165">
        <f>IF(OR(Monthly_Prices_RAW!I167="",Monthly_Prices_RAW!I166=""),"",Monthly_Prices_RAW!I167-Monthly_Prices_RAW!I166)</f>
        <v>-0.60000000000000142</v>
      </c>
    </row>
    <row r="166" spans="1:8" x14ac:dyDescent="0.25">
      <c r="A166" s="1">
        <f>Monthly_Prices_RAW!B167</f>
        <v>45260</v>
      </c>
      <c r="B166">
        <f>IF(OR(Monthly_Prices_RAW!C168="",Monthly_Prices_RAW!C167=""),"",LN(Monthly_Prices_RAW!C168/Monthly_Prices_RAW!C167))</f>
        <v>7.4852096107100793E-2</v>
      </c>
      <c r="C166">
        <f>IF(OR(Monthly_Prices_RAW!D168="",Monthly_Prices_RAW!D167=""),"",LN(Monthly_Prices_RAW!D168/Monthly_Prices_RAW!D167))</f>
        <v>5.033536344497614E-2</v>
      </c>
      <c r="D166">
        <f>IF(OR(Monthly_Prices_RAW!E168="",Monthly_Prices_RAW!E167=""),"",LN(Monthly_Prices_RAW!E168/Monthly_Prices_RAW!E167))</f>
        <v>1.5934011579690415E-2</v>
      </c>
      <c r="E166">
        <f>IF(OR(Monthly_Prices_RAW!F168="",Monthly_Prices_RAW!F167=""),"",LN(Monthly_Prices_RAW!F168/Monthly_Prices_RAW!F167))</f>
        <v>8.3509279767352174E-2</v>
      </c>
      <c r="F166">
        <f>IF(OR(Monthly_Prices_RAW!G168="",Monthly_Prices_RAW!G167=""),"",LN(Monthly_Prices_RAW!G168/Monthly_Prices_RAW!G167))</f>
        <v>3.0858824826153215E-2</v>
      </c>
      <c r="G166">
        <f>IF(OR(Monthly_Prices_RAW!H168="",Monthly_Prices_RAW!H167=""),"",LN(Monthly_Prices_RAW!H168/Monthly_Prices_RAW!H167))</f>
        <v>4.3278976294068072E-2</v>
      </c>
      <c r="H166">
        <f>IF(OR(Monthly_Prices_RAW!I168="",Monthly_Prices_RAW!I167=""),"",Monthly_Prices_RAW!I168-Monthly_Prices_RAW!I167)</f>
        <v>0.10000000000000142</v>
      </c>
    </row>
    <row r="167" spans="1:8" x14ac:dyDescent="0.25">
      <c r="A167" s="1">
        <f>Monthly_Prices_RAW!B168</f>
        <v>45291</v>
      </c>
      <c r="B167">
        <f>IF(OR(Monthly_Prices_RAW!C169="",Monthly_Prices_RAW!C168=""),"",LN(Monthly_Prices_RAW!C169/Monthly_Prices_RAW!C168))</f>
        <v>-7.2249921645376469E-2</v>
      </c>
      <c r="C167">
        <f>IF(OR(Monthly_Prices_RAW!D169="",Monthly_Prices_RAW!D168=""),"",LN(Monthly_Prices_RAW!D169/Monthly_Prices_RAW!D168))</f>
        <v>-3.6704912302233883E-2</v>
      </c>
      <c r="D167">
        <f>IF(OR(Monthly_Prices_RAW!E169="",Monthly_Prices_RAW!E168=""),"",LN(Monthly_Prices_RAW!E169/Monthly_Prices_RAW!E168))</f>
        <v>3.9761483796394168E-3</v>
      </c>
      <c r="E167">
        <f>IF(OR(Monthly_Prices_RAW!F169="",Monthly_Prices_RAW!F168=""),"",LN(Monthly_Prices_RAW!F169/Monthly_Prices_RAW!F168))</f>
        <v>-4.4604306236753918E-2</v>
      </c>
      <c r="F167">
        <f>IF(OR(Monthly_Prices_RAW!G169="",Monthly_Prices_RAW!G168=""),"",LN(Monthly_Prices_RAW!G169/Monthly_Prices_RAW!G168))</f>
        <v>-3.6476390650314751E-2</v>
      </c>
      <c r="G167">
        <f>IF(OR(Monthly_Prices_RAW!H169="",Monthly_Prices_RAW!H168=""),"",LN(Monthly_Prices_RAW!H169/Monthly_Prices_RAW!H168))</f>
        <v>1.5770730418801029E-2</v>
      </c>
      <c r="H167">
        <f>IF(OR(Monthly_Prices_RAW!I169="",Monthly_Prices_RAW!I168=""),"",Monthly_Prices_RAW!I169-Monthly_Prices_RAW!I168)</f>
        <v>1.7000000000000028</v>
      </c>
    </row>
    <row r="168" spans="1:8" x14ac:dyDescent="0.25">
      <c r="A168" s="1">
        <f>Monthly_Prices_RAW!B169</f>
        <v>45322</v>
      </c>
      <c r="B168">
        <f>IF(OR(Monthly_Prices_RAW!C170="",Monthly_Prices_RAW!C169=""),"",LN(Monthly_Prices_RAW!C170/Monthly_Prices_RAW!C169))</f>
        <v>-7.0882070252508728E-2</v>
      </c>
      <c r="C168">
        <f>IF(OR(Monthly_Prices_RAW!D170="",Monthly_Prices_RAW!D169=""),"",LN(Monthly_Prices_RAW!D170/Monthly_Prices_RAW!D169))</f>
        <v>-9.8258244022198016E-2</v>
      </c>
      <c r="D168">
        <f>IF(OR(Monthly_Prices_RAW!E170="",Monthly_Prices_RAW!E169=""),"",LN(Monthly_Prices_RAW!E170/Monthly_Prices_RAW!E169))</f>
        <v>-1.8474784231710433E-2</v>
      </c>
      <c r="E168">
        <f>IF(OR(Monthly_Prices_RAW!F170="",Monthly_Prices_RAW!F169=""),"",LN(Monthly_Prices_RAW!F170/Monthly_Prices_RAW!F169))</f>
        <v>-2.3071120901311772E-2</v>
      </c>
      <c r="F168">
        <f>IF(OR(Monthly_Prices_RAW!G170="",Monthly_Prices_RAW!G169=""),"",LN(Monthly_Prices_RAW!G170/Monthly_Prices_RAW!G169))</f>
        <v>-1.0868840251733229E-2</v>
      </c>
      <c r="G168">
        <f>IF(OR(Monthly_Prices_RAW!H170="",Monthly_Prices_RAW!H169=""),"",LN(Monthly_Prices_RAW!H170/Monthly_Prices_RAW!H169))</f>
        <v>5.0427504326927088E-2</v>
      </c>
      <c r="H168">
        <f>IF(OR(Monthly_Prices_RAW!I170="",Monthly_Prices_RAW!I169=""),"",Monthly_Prices_RAW!I170-Monthly_Prices_RAW!I169)</f>
        <v>-1.2000000000000028</v>
      </c>
    </row>
    <row r="169" spans="1:8" x14ac:dyDescent="0.25">
      <c r="A169" s="1">
        <f>Monthly_Prices_RAW!B170</f>
        <v>45351</v>
      </c>
      <c r="B169">
        <f>IF(OR(Monthly_Prices_RAW!C171="",Monthly_Prices_RAW!C170=""),"",LN(Monthly_Prices_RAW!C171/Monthly_Prices_RAW!C170))</f>
        <v>2.7404177152660143E-2</v>
      </c>
      <c r="C169">
        <f>IF(OR(Monthly_Prices_RAW!D171="",Monthly_Prices_RAW!D170=""),"",LN(Monthly_Prices_RAW!D171/Monthly_Prices_RAW!D170))</f>
        <v>-0.19392034529453947</v>
      </c>
      <c r="D169">
        <f>IF(OR(Monthly_Prices_RAW!E171="",Monthly_Prices_RAW!E170=""),"",LN(Monthly_Prices_RAW!E171/Monthly_Prices_RAW!E170))</f>
        <v>4.4003783431230674E-2</v>
      </c>
      <c r="E169">
        <f>IF(OR(Monthly_Prices_RAW!F171="",Monthly_Prices_RAW!F170=""),"",LN(Monthly_Prices_RAW!F171/Monthly_Prices_RAW!F170))</f>
        <v>4.776373349168328E-2</v>
      </c>
      <c r="F169">
        <f>IF(OR(Monthly_Prices_RAW!G171="",Monthly_Prices_RAW!G170=""),"",LN(Monthly_Prices_RAW!G171/Monthly_Prices_RAW!G170))</f>
        <v>3.6872065126712429E-3</v>
      </c>
      <c r="G169">
        <f>IF(OR(Monthly_Prices_RAW!H171="",Monthly_Prices_RAW!H170=""),"",LN(Monthly_Prices_RAW!H171/Monthly_Prices_RAW!H170))</f>
        <v>3.0547405358412088E-2</v>
      </c>
      <c r="H169">
        <f>IF(OR(Monthly_Prices_RAW!I171="",Monthly_Prices_RAW!I170=""),"",Monthly_Prices_RAW!I171-Monthly_Prices_RAW!I170)</f>
        <v>2.3999999999999986</v>
      </c>
    </row>
    <row r="170" spans="1:8" x14ac:dyDescent="0.25">
      <c r="A170" s="1">
        <f>Monthly_Prices_RAW!B171</f>
        <v>45382</v>
      </c>
      <c r="B170">
        <f>IF(OR(Monthly_Prices_RAW!C172="",Monthly_Prices_RAW!C171=""),"",LN(Monthly_Prices_RAW!C172/Monthly_Prices_RAW!C171))</f>
        <v>6.21920677567529E-2</v>
      </c>
      <c r="C170">
        <f>IF(OR(Monthly_Prices_RAW!D172="",Monthly_Prices_RAW!D171=""),"",LN(Monthly_Prices_RAW!D172/Monthly_Prices_RAW!D171))</f>
        <v>0.1362816657664733</v>
      </c>
      <c r="D170">
        <f>IF(OR(Monthly_Prices_RAW!E172="",Monthly_Prices_RAW!E171=""),"",LN(Monthly_Prices_RAW!E172/Monthly_Prices_RAW!E171))</f>
        <v>0.13026614736899098</v>
      </c>
      <c r="E170">
        <f>IF(OR(Monthly_Prices_RAW!F172="",Monthly_Prices_RAW!F171=""),"",LN(Monthly_Prices_RAW!F172/Monthly_Prices_RAW!F171))</f>
        <v>0.10336880309090332</v>
      </c>
      <c r="F170">
        <f>IF(OR(Monthly_Prices_RAW!G172="",Monthly_Prices_RAW!G171=""),"",LN(Monthly_Prices_RAW!G172/Monthly_Prices_RAW!G171))</f>
        <v>-7.3880588476921876E-3</v>
      </c>
      <c r="G170">
        <f>IF(OR(Monthly_Prices_RAW!H172="",Monthly_Prices_RAW!H171=""),"",LN(Monthly_Prices_RAW!H172/Monthly_Prices_RAW!H171))</f>
        <v>-4.250574745999363E-2</v>
      </c>
      <c r="H170">
        <f>IF(OR(Monthly_Prices_RAW!I172="",Monthly_Prices_RAW!I171=""),"",Monthly_Prices_RAW!I172-Monthly_Prices_RAW!I171)</f>
        <v>-0.89999999999999858</v>
      </c>
    </row>
    <row r="171" spans="1:8" x14ac:dyDescent="0.25">
      <c r="A171" s="1">
        <f>Monthly_Prices_RAW!B172</f>
        <v>45412</v>
      </c>
      <c r="B171">
        <f>IF(OR(Monthly_Prices_RAW!C173="",Monthly_Prices_RAW!C172=""),"",LN(Monthly_Prices_RAW!C173/Monthly_Prices_RAW!C172))</f>
        <v>3.291830280806602E-2</v>
      </c>
      <c r="C171">
        <f>IF(OR(Monthly_Prices_RAW!D173="",Monthly_Prices_RAW!D172=""),"",LN(Monthly_Prices_RAW!D173/Monthly_Prices_RAW!D172))</f>
        <v>-6.0897032630139718E-3</v>
      </c>
      <c r="D171">
        <f>IF(OR(Monthly_Prices_RAW!E173="",Monthly_Prices_RAW!E172=""),"",LN(Monthly_Prices_RAW!E173/Monthly_Prices_RAW!E172))</f>
        <v>8.1820125901756451E-3</v>
      </c>
      <c r="E171">
        <f>IF(OR(Monthly_Prices_RAW!F173="",Monthly_Prices_RAW!F172=""),"",LN(Monthly_Prices_RAW!F173/Monthly_Prices_RAW!F172))</f>
        <v>2.3265732858376915E-2</v>
      </c>
      <c r="F171">
        <f>IF(OR(Monthly_Prices_RAW!G173="",Monthly_Prices_RAW!G172=""),"",LN(Monthly_Prices_RAW!G173/Monthly_Prices_RAW!G172))</f>
        <v>2.742820119637732E-2</v>
      </c>
      <c r="G171">
        <f>IF(OR(Monthly_Prices_RAW!H173="",Monthly_Prices_RAW!H172=""),"",LN(Monthly_Prices_RAW!H173/Monthly_Prices_RAW!H172))</f>
        <v>4.6903838078814306E-2</v>
      </c>
      <c r="H171">
        <f>IF(OR(Monthly_Prices_RAW!I173="",Monthly_Prices_RAW!I172=""),"",Monthly_Prices_RAW!I173-Monthly_Prices_RAW!I172)</f>
        <v>-0.29999999999999716</v>
      </c>
    </row>
    <row r="172" spans="1:8" x14ac:dyDescent="0.25">
      <c r="A172" s="1">
        <f>Monthly_Prices_RAW!B173</f>
        <v>45443</v>
      </c>
      <c r="B172">
        <f>IF(OR(Monthly_Prices_RAW!C174="",Monthly_Prices_RAW!C173=""),"",LN(Monthly_Prices_RAW!C174/Monthly_Prices_RAW!C173))</f>
        <v>-6.1329075390266552E-2</v>
      </c>
      <c r="C172">
        <f>IF(OR(Monthly_Prices_RAW!D174="",Monthly_Prices_RAW!D173=""),"",LN(Monthly_Prices_RAW!D174/Monthly_Prices_RAW!D173))</f>
        <v>-5.8405891129041675E-2</v>
      </c>
      <c r="D172">
        <f>IF(OR(Monthly_Prices_RAW!E174="",Monthly_Prices_RAW!E173=""),"",LN(Monthly_Prices_RAW!E174/Monthly_Prices_RAW!E173))</f>
        <v>-4.7047875795260902E-2</v>
      </c>
      <c r="E172">
        <f>IF(OR(Monthly_Prices_RAW!F174="",Monthly_Prices_RAW!F173=""),"",LN(Monthly_Prices_RAW!F174/Monthly_Prices_RAW!F173))</f>
        <v>-4.9459568189167823E-2</v>
      </c>
      <c r="F172">
        <f>IF(OR(Monthly_Prices_RAW!G174="",Monthly_Prices_RAW!G173=""),"",LN(Monthly_Prices_RAW!G174/Monthly_Prices_RAW!G173))</f>
        <v>2.5519791677818468E-3</v>
      </c>
      <c r="G172">
        <f>IF(OR(Monthly_Prices_RAW!H174="",Monthly_Prices_RAW!H173=""),"",LN(Monthly_Prices_RAW!H174/Monthly_Prices_RAW!H173))</f>
        <v>3.408230240557078E-2</v>
      </c>
      <c r="H172">
        <f>IF(OR(Monthly_Prices_RAW!I174="",Monthly_Prices_RAW!I173=""),"",Monthly_Prices_RAW!I174-Monthly_Prices_RAW!I173)</f>
        <v>-0.30000000000000426</v>
      </c>
    </row>
    <row r="173" spans="1:8" x14ac:dyDescent="0.25">
      <c r="A173" s="1">
        <f>Monthly_Prices_RAW!B174</f>
        <v>45473</v>
      </c>
      <c r="B173">
        <f>IF(OR(Monthly_Prices_RAW!C175="",Monthly_Prices_RAW!C174=""),"",LN(Monthly_Prices_RAW!C175/Monthly_Prices_RAW!C174))</f>
        <v>-1.1747716700281607E-2</v>
      </c>
      <c r="C173">
        <f>IF(OR(Monthly_Prices_RAW!D175="",Monthly_Prices_RAW!D174=""),"",LN(Monthly_Prices_RAW!D175/Monthly_Prices_RAW!D174))</f>
        <v>-6.5690414034192568E-2</v>
      </c>
      <c r="D173">
        <f>IF(OR(Monthly_Prices_RAW!E175="",Monthly_Prices_RAW!E174=""),"",LN(Monthly_Prices_RAW!E175/Monthly_Prices_RAW!E174))</f>
        <v>-4.9969540604089334E-2</v>
      </c>
      <c r="E173">
        <f>IF(OR(Monthly_Prices_RAW!F175="",Monthly_Prices_RAW!F174=""),"",LN(Monthly_Prices_RAW!F175/Monthly_Prices_RAW!F174))</f>
        <v>-9.7272888972173538E-2</v>
      </c>
      <c r="F173">
        <f>IF(OR(Monthly_Prices_RAW!G175="",Monthly_Prices_RAW!G174=""),"",LN(Monthly_Prices_RAW!G175/Monthly_Prices_RAW!G174))</f>
        <v>-1.9376930811340242E-2</v>
      </c>
      <c r="G173">
        <f>IF(OR(Monthly_Prices_RAW!H175="",Monthly_Prices_RAW!H174=""),"",LN(Monthly_Prices_RAW!H175/Monthly_Prices_RAW!H174))</f>
        <v>1.1257742193535576E-2</v>
      </c>
      <c r="H173">
        <f>IF(OR(Monthly_Prices_RAW!I175="",Monthly_Prices_RAW!I174=""),"",Monthly_Prices_RAW!I175-Monthly_Prices_RAW!I174)</f>
        <v>-0.89999999999999858</v>
      </c>
    </row>
    <row r="174" spans="1:8" x14ac:dyDescent="0.25">
      <c r="A174" s="1">
        <f>Monthly_Prices_RAW!B175</f>
        <v>45504</v>
      </c>
      <c r="B174">
        <f>IF(OR(Monthly_Prices_RAW!C176="",Monthly_Prices_RAW!C175=""),"",LN(Monthly_Prices_RAW!C176/Monthly_Prices_RAW!C175))</f>
        <v>-9.6026957551328452E-4</v>
      </c>
      <c r="C174">
        <f>IF(OR(Monthly_Prices_RAW!D176="",Monthly_Prices_RAW!D175=""),"",LN(Monthly_Prices_RAW!D176/Monthly_Prices_RAW!D175))</f>
        <v>-5.779451803993493E-3</v>
      </c>
      <c r="D174">
        <f>IF(OR(Monthly_Prices_RAW!E176="",Monthly_Prices_RAW!E175=""),"",LN(Monthly_Prices_RAW!E176/Monthly_Prices_RAW!E175))</f>
        <v>-7.5707866265655784E-3</v>
      </c>
      <c r="E174">
        <f>IF(OR(Monthly_Prices_RAW!F176="",Monthly_Prices_RAW!F175=""),"",LN(Monthly_Prices_RAW!F176/Monthly_Prices_RAW!F175))</f>
        <v>6.6092650115874826E-2</v>
      </c>
      <c r="F174">
        <f>IF(OR(Monthly_Prices_RAW!G176="",Monthly_Prices_RAW!G175=""),"",LN(Monthly_Prices_RAW!G176/Monthly_Prices_RAW!G175))</f>
        <v>3.3519332506559182E-2</v>
      </c>
      <c r="G174">
        <f>IF(OR(Monthly_Prices_RAW!H176="",Monthly_Prices_RAW!H175=""),"",LN(Monthly_Prices_RAW!H176/Monthly_Prices_RAW!H175))</f>
        <v>2.2577879038739614E-2</v>
      </c>
      <c r="H174">
        <f>IF(OR(Monthly_Prices_RAW!I176="",Monthly_Prices_RAW!I175=""),"",Monthly_Prices_RAW!I176-Monthly_Prices_RAW!I175)</f>
        <v>0.30000000000000426</v>
      </c>
    </row>
    <row r="175" spans="1:8" x14ac:dyDescent="0.25">
      <c r="A175" s="1">
        <f>Monthly_Prices_RAW!B176</f>
        <v>45535</v>
      </c>
      <c r="B175">
        <f>IF(OR(Monthly_Prices_RAW!C177="",Monthly_Prices_RAW!C176=""),"",LN(Monthly_Prices_RAW!C177/Monthly_Prices_RAW!C176))</f>
        <v>0.11766010851514519</v>
      </c>
      <c r="C175">
        <f>IF(OR(Monthly_Prices_RAW!D177="",Monthly_Prices_RAW!D176=""),"",LN(Monthly_Prices_RAW!D177/Monthly_Prices_RAW!D176))</f>
        <v>8.22048181517719E-2</v>
      </c>
      <c r="D175">
        <f>IF(OR(Monthly_Prices_RAW!E177="",Monthly_Prices_RAW!E176=""),"",LN(Monthly_Prices_RAW!E177/Monthly_Prices_RAW!E176))</f>
        <v>9.3883567765386727E-2</v>
      </c>
      <c r="E175">
        <f>IF(OR(Monthly_Prices_RAW!F177="",Monthly_Prices_RAW!F176=""),"",LN(Monthly_Prices_RAW!F177/Monthly_Prices_RAW!F176))</f>
        <v>6.5061984433681802E-2</v>
      </c>
      <c r="F175">
        <f>IF(OR(Monthly_Prices_RAW!G177="",Monthly_Prices_RAW!G176=""),"",LN(Monthly_Prices_RAW!G177/Monthly_Prices_RAW!G176))</f>
        <v>2.1641435340376675E-2</v>
      </c>
      <c r="G175">
        <f>IF(OR(Monthly_Prices_RAW!H177="",Monthly_Prices_RAW!H176=""),"",LN(Monthly_Prices_RAW!H177/Monthly_Prices_RAW!H176))</f>
        <v>1.9995618387948909E-2</v>
      </c>
      <c r="H175">
        <f>IF(OR(Monthly_Prices_RAW!I177="",Monthly_Prices_RAW!I176=""),"",Monthly_Prices_RAW!I177-Monthly_Prices_RAW!I176)</f>
        <v>-0.40000000000000568</v>
      </c>
    </row>
    <row r="176" spans="1:8" x14ac:dyDescent="0.25">
      <c r="A176" s="1">
        <f>Monthly_Prices_RAW!B177</f>
        <v>45565</v>
      </c>
      <c r="B176">
        <f>IF(OR(Monthly_Prices_RAW!C178="",Monthly_Prices_RAW!C177=""),"",LN(Monthly_Prices_RAW!C178/Monthly_Prices_RAW!C177))</f>
        <v>-9.2377512717160243E-2</v>
      </c>
      <c r="C176">
        <f>IF(OR(Monthly_Prices_RAW!D178="",Monthly_Prices_RAW!D177=""),"",LN(Monthly_Prices_RAW!D178/Monthly_Prices_RAW!D177))</f>
        <v>-6.5483768105146792E-2</v>
      </c>
      <c r="D176">
        <f>IF(OR(Monthly_Prices_RAW!E178="",Monthly_Prices_RAW!E177=""),"",LN(Monthly_Prices_RAW!E178/Monthly_Prices_RAW!E177))</f>
        <v>-4.7912008240331559E-2</v>
      </c>
      <c r="E176">
        <f>IF(OR(Monthly_Prices_RAW!F178="",Monthly_Prices_RAW!F177=""),"",LN(Monthly_Prices_RAW!F178/Monthly_Prices_RAW!F177))</f>
        <v>2.2948948683385929E-3</v>
      </c>
      <c r="F176">
        <f>IF(OR(Monthly_Prices_RAW!G178="",Monthly_Prices_RAW!G177=""),"",LN(Monthly_Prices_RAW!G178/Monthly_Prices_RAW!G177))</f>
        <v>-4.9065046441979808E-2</v>
      </c>
      <c r="G176">
        <f>IF(OR(Monthly_Prices_RAW!H178="",Monthly_Prices_RAW!H177=""),"",LN(Monthly_Prices_RAW!H178/Monthly_Prices_RAW!H177))</f>
        <v>-9.9460792205519691E-3</v>
      </c>
      <c r="H176">
        <f>IF(OR(Monthly_Prices_RAW!I178="",Monthly_Prices_RAW!I177=""),"",Monthly_Prices_RAW!I178-Monthly_Prices_RAW!I177)</f>
        <v>-0.29999999999999716</v>
      </c>
    </row>
    <row r="177" spans="1:8" x14ac:dyDescent="0.25">
      <c r="A177" s="1">
        <f>Monthly_Prices_RAW!B178</f>
        <v>45596</v>
      </c>
      <c r="B177">
        <f>IF(OR(Monthly_Prices_RAW!C179="",Monthly_Prices_RAW!C178=""),"",LN(Monthly_Prices_RAW!C179/Monthly_Prices_RAW!C178))</f>
        <v>-3.2102052067265331E-2</v>
      </c>
      <c r="C177">
        <f>IF(OR(Monthly_Prices_RAW!D179="",Monthly_Prices_RAW!D178=""),"",LN(Monthly_Prices_RAW!D179/Monthly_Prices_RAW!D178))</f>
        <v>7.9484289433472965E-3</v>
      </c>
      <c r="D177">
        <f>IF(OR(Monthly_Prices_RAW!E179="",Monthly_Prices_RAW!E178=""),"",LN(Monthly_Prices_RAW!E179/Monthly_Prices_RAW!E178))</f>
        <v>-6.1654818185152976E-2</v>
      </c>
      <c r="E177">
        <f>IF(OR(Monthly_Prices_RAW!F179="",Monthly_Prices_RAW!F178=""),"",LN(Monthly_Prices_RAW!F179/Monthly_Prices_RAW!F178))</f>
        <v>-9.0185778683027698E-3</v>
      </c>
      <c r="F177">
        <f>IF(OR(Monthly_Prices_RAW!G179="",Monthly_Prices_RAW!G178=""),"",LN(Monthly_Prices_RAW!G179/Monthly_Prices_RAW!G178))</f>
        <v>-1.069202182090905E-2</v>
      </c>
      <c r="G177">
        <f>IF(OR(Monthly_Prices_RAW!H179="",Monthly_Prices_RAW!H178=""),"",LN(Monthly_Prices_RAW!H179/Monthly_Prices_RAW!H178))</f>
        <v>5.5719767688528744E-2</v>
      </c>
      <c r="H177">
        <f>IF(OR(Monthly_Prices_RAW!I179="",Monthly_Prices_RAW!I178=""),"",Monthly_Prices_RAW!I179-Monthly_Prices_RAW!I178)</f>
        <v>1.3999999999999986</v>
      </c>
    </row>
    <row r="178" spans="1:8" x14ac:dyDescent="0.25">
      <c r="A178" s="1">
        <f>Monthly_Prices_RAW!B179</f>
        <v>45626</v>
      </c>
      <c r="B178">
        <f>IF(OR(Monthly_Prices_RAW!C180="",Monthly_Prices_RAW!C179=""),"",LN(Monthly_Prices_RAW!C180/Monthly_Prices_RAW!C179))</f>
        <v>-6.627934420994254E-2</v>
      </c>
      <c r="C178">
        <f>IF(OR(Monthly_Prices_RAW!D180="",Monthly_Prices_RAW!D179=""),"",LN(Monthly_Prices_RAW!D180/Monthly_Prices_RAW!D179))</f>
        <v>-1.9833472929211789E-2</v>
      </c>
      <c r="D178">
        <f>IF(OR(Monthly_Prices_RAW!E180="",Monthly_Prices_RAW!E179=""),"",LN(Monthly_Prices_RAW!E180/Monthly_Prices_RAW!E179))</f>
        <v>-1.3322017673698065E-2</v>
      </c>
      <c r="E178">
        <f>IF(OR(Monthly_Prices_RAW!F180="",Monthly_Prices_RAW!F179=""),"",LN(Monthly_Prices_RAW!F180/Monthly_Prices_RAW!F179))</f>
        <v>-1.6519664372363053E-2</v>
      </c>
      <c r="F178">
        <f>IF(OR(Monthly_Prices_RAW!G180="",Monthly_Prices_RAW!G179=""),"",LN(Monthly_Prices_RAW!G180/Monthly_Prices_RAW!G179))</f>
        <v>-5.1034695989419405E-2</v>
      </c>
      <c r="G178">
        <f>IF(OR(Monthly_Prices_RAW!H180="",Monthly_Prices_RAW!H179=""),"",LN(Monthly_Prices_RAW!H180/Monthly_Prices_RAW!H179))</f>
        <v>-2.5307691689834075E-2</v>
      </c>
      <c r="H178">
        <f>IF(OR(Monthly_Prices_RAW!I180="",Monthly_Prices_RAW!I179=""),"",Monthly_Prices_RAW!I180-Monthly_Prices_RAW!I179)</f>
        <v>0.80000000000000426</v>
      </c>
    </row>
    <row r="179" spans="1:8" x14ac:dyDescent="0.25">
      <c r="A179" s="1">
        <f>Monthly_Prices_RAW!B180</f>
        <v>45657</v>
      </c>
      <c r="B179">
        <f>IF(OR(Monthly_Prices_RAW!C181="",Monthly_Prices_RAW!C180=""),"",LN(Monthly_Prices_RAW!C181/Monthly_Prices_RAW!C180))</f>
        <v>2.6842646415336922E-2</v>
      </c>
      <c r="C179">
        <f>IF(OR(Monthly_Prices_RAW!D181="",Monthly_Prices_RAW!D180=""),"",LN(Monthly_Prices_RAW!D181/Monthly_Prices_RAW!D180))</f>
        <v>4.7315808932661352E-2</v>
      </c>
      <c r="D179">
        <f>IF(OR(Monthly_Prices_RAW!E181="",Monthly_Prices_RAW!E180=""),"",LN(Monthly_Prices_RAW!E181/Monthly_Prices_RAW!E180))</f>
        <v>6.0821825181217246E-2</v>
      </c>
      <c r="E179">
        <f>IF(OR(Monthly_Prices_RAW!F181="",Monthly_Prices_RAW!F180=""),"",LN(Monthly_Prices_RAW!F181/Monthly_Prices_RAW!F180))</f>
        <v>1.6519664372362967E-2</v>
      </c>
      <c r="F179">
        <f>IF(OR(Monthly_Prices_RAW!G181="",Monthly_Prices_RAW!G180=""),"",LN(Monthly_Prices_RAW!G181/Monthly_Prices_RAW!G180))</f>
        <v>4.8363789257423635E-3</v>
      </c>
      <c r="G179">
        <f>IF(OR(Monthly_Prices_RAW!H181="",Monthly_Prices_RAW!H180=""),"",LN(Monthly_Prices_RAW!H181/Monthly_Prices_RAW!H180))</f>
        <v>2.6657822062382253E-2</v>
      </c>
      <c r="H179">
        <f>IF(OR(Monthly_Prices_RAW!I181="",Monthly_Prices_RAW!I180=""),"",Monthly_Prices_RAW!I181-Monthly_Prices_RAW!I180)</f>
        <v>1.2999999999999972</v>
      </c>
    </row>
    <row r="180" spans="1:8" x14ac:dyDescent="0.25">
      <c r="A180" s="1">
        <f>Monthly_Prices_RAW!B181</f>
        <v>45688</v>
      </c>
      <c r="B180">
        <f>IF(OR(Monthly_Prices_RAW!C182="",Monthly_Prices_RAW!C181=""),"",LN(Monthly_Prices_RAW!C182/Monthly_Prices_RAW!C181))</f>
        <v>2.4796476205377047E-3</v>
      </c>
      <c r="C180">
        <f>IF(OR(Monthly_Prices_RAW!D182="",Monthly_Prices_RAW!D181=""),"",LN(Monthly_Prices_RAW!D182/Monthly_Prices_RAW!D181))</f>
        <v>-1.4813592801046186E-2</v>
      </c>
      <c r="D180">
        <f>IF(OR(Monthly_Prices_RAW!E182="",Monthly_Prices_RAW!E181=""),"",LN(Monthly_Prices_RAW!E182/Monthly_Prices_RAW!E181))</f>
        <v>5.3575101330717016E-2</v>
      </c>
      <c r="E180">
        <f>IF(OR(Monthly_Prices_RAW!F182="",Monthly_Prices_RAW!F181=""),"",LN(Monthly_Prices_RAW!F182/Monthly_Prices_RAW!F181))</f>
        <v>4.4235094728801022E-3</v>
      </c>
      <c r="F180">
        <f>IF(OR(Monthly_Prices_RAW!G182="",Monthly_Prices_RAW!G181=""),"",LN(Monthly_Prices_RAW!G182/Monthly_Prices_RAW!G181))</f>
        <v>-1.4484592538063956E-3</v>
      </c>
      <c r="G180">
        <f>IF(OR(Monthly_Prices_RAW!H182="",Monthly_Prices_RAW!H181=""),"",LN(Monthly_Prices_RAW!H182/Monthly_Prices_RAW!H181))</f>
        <v>-1.4344520215520212E-2</v>
      </c>
      <c r="H180">
        <f>IF(OR(Monthly_Prices_RAW!I182="",Monthly_Prices_RAW!I181=""),"",Monthly_Prices_RAW!I182-Monthly_Prices_RAW!I181)</f>
        <v>-0.5</v>
      </c>
    </row>
    <row r="181" spans="1:8" x14ac:dyDescent="0.25">
      <c r="A181" s="1">
        <f>Monthly_Prices_RAW!B182</f>
        <v>45716</v>
      </c>
      <c r="B181">
        <f>IF(OR(Monthly_Prices_RAW!C183="",Monthly_Prices_RAW!C182=""),"",LN(Monthly_Prices_RAW!C183/Monthly_Prices_RAW!C182))</f>
        <v>2.7515568290425951E-2</v>
      </c>
      <c r="C181">
        <f>IF(OR(Monthly_Prices_RAW!D183="",Monthly_Prices_RAW!D182=""),"",LN(Monthly_Prices_RAW!D183/Monthly_Prices_RAW!D182))</f>
        <v>-3.1873153414288646E-2</v>
      </c>
      <c r="D181">
        <f>IF(OR(Monthly_Prices_RAW!E183="",Monthly_Prices_RAW!E182=""),"",LN(Monthly_Prices_RAW!E183/Monthly_Prices_RAW!E182))</f>
        <v>0.10892045794772728</v>
      </c>
      <c r="E181">
        <f>IF(OR(Monthly_Prices_RAW!F183="",Monthly_Prices_RAW!F182=""),"",LN(Monthly_Prices_RAW!F183/Monthly_Prices_RAW!F182))</f>
        <v>-2.8220224347594053E-2</v>
      </c>
      <c r="F181">
        <f>IF(OR(Monthly_Prices_RAW!G183="",Monthly_Prices_RAW!G182=""),"",LN(Monthly_Prices_RAW!G183/Monthly_Prices_RAW!G182))</f>
        <v>6.1014961286770799E-3</v>
      </c>
      <c r="G181">
        <f>IF(OR(Monthly_Prices_RAW!H183="",Monthly_Prices_RAW!H182=""),"",LN(Monthly_Prices_RAW!H183/Monthly_Prices_RAW!H182))</f>
        <v>-5.9266802781969163E-2</v>
      </c>
      <c r="H181">
        <f>IF(OR(Monthly_Prices_RAW!I183="",Monthly_Prices_RAW!I182=""),"",Monthly_Prices_RAW!I183-Monthly_Prices_RAW!I182)</f>
        <v>-1.1000000000000014</v>
      </c>
    </row>
    <row r="182" spans="1:8" x14ac:dyDescent="0.25">
      <c r="A182" s="1">
        <f>Monthly_Prices_RAW!B183</f>
        <v>45747</v>
      </c>
      <c r="B182">
        <f>IF(OR(Monthly_Prices_RAW!C184="",Monthly_Prices_RAW!C183=""),"",LN(Monthly_Prices_RAW!C184/Monthly_Prices_RAW!C183))</f>
        <v>-1.1382962453144723E-2</v>
      </c>
      <c r="C182">
        <f>IF(OR(Monthly_Prices_RAW!D184="",Monthly_Prices_RAW!D183=""),"",LN(Monthly_Prices_RAW!D184/Monthly_Prices_RAW!D183))</f>
        <v>-1.6805341863442583E-2</v>
      </c>
      <c r="D182">
        <f>IF(OR(Monthly_Prices_RAW!E184="",Monthly_Prices_RAW!E183=""),"",LN(Monthly_Prices_RAW!E184/Monthly_Prices_RAW!E183))</f>
        <v>-9.8892273186829333E-2</v>
      </c>
      <c r="E182">
        <f>IF(OR(Monthly_Prices_RAW!F184="",Monthly_Prices_RAW!F183=""),"",LN(Monthly_Prices_RAW!F184/Monthly_Prices_RAW!F183))</f>
        <v>-5.4143988703375008E-2</v>
      </c>
      <c r="F182">
        <f>IF(OR(Monthly_Prices_RAW!G184="",Monthly_Prices_RAW!G183=""),"",LN(Monthly_Prices_RAW!G184/Monthly_Prices_RAW!G183))</f>
        <v>2.450909303623838E-2</v>
      </c>
      <c r="G182">
        <f>IF(OR(Monthly_Prices_RAW!H184="",Monthly_Prices_RAW!H183=""),"",LN(Monthly_Prices_RAW!H184/Monthly_Prices_RAW!H183))</f>
        <v>-7.6541549673546042E-3</v>
      </c>
      <c r="H182">
        <f>IF(OR(Monthly_Prices_RAW!I184="",Monthly_Prices_RAW!I183=""),"",Monthly_Prices_RAW!I184-Monthly_Prices_RAW!I183)</f>
        <v>-0.10000000000000142</v>
      </c>
    </row>
    <row r="183" spans="1:8" x14ac:dyDescent="0.25">
      <c r="A183" s="1">
        <f>Monthly_Prices_RAW!B184</f>
        <v>45777</v>
      </c>
      <c r="B183">
        <f>IF(OR(Monthly_Prices_RAW!C185="",Monthly_Prices_RAW!C184=""),"",LN(Monthly_Prices_RAW!C185/Monthly_Prices_RAW!C184))</f>
        <v>5.0510861747470395E-4</v>
      </c>
      <c r="C183">
        <f>IF(OR(Monthly_Prices_RAW!D185="",Monthly_Prices_RAW!D184=""),"",LN(Monthly_Prices_RAW!D185/Monthly_Prices_RAW!D184))</f>
        <v>-2.0568215530293782E-2</v>
      </c>
      <c r="D183">
        <f>IF(OR(Monthly_Prices_RAW!E185="",Monthly_Prices_RAW!E184=""),"",LN(Monthly_Prices_RAW!E185/Monthly_Prices_RAW!E184))</f>
        <v>2.544115563981298E-2</v>
      </c>
      <c r="E183">
        <f>IF(OR(Monthly_Prices_RAW!F185="",Monthly_Prices_RAW!F184=""),"",LN(Monthly_Prices_RAW!F185/Monthly_Prices_RAW!F184))</f>
        <v>1.8375658993185759E-2</v>
      </c>
      <c r="F183">
        <f>IF(OR(Monthly_Prices_RAW!G185="",Monthly_Prices_RAW!G184=""),"",LN(Monthly_Prices_RAW!G185/Monthly_Prices_RAW!G184))</f>
        <v>4.5196056050548486E-3</v>
      </c>
      <c r="G183">
        <f>IF(OR(Monthly_Prices_RAW!H185="",Monthly_Prices_RAW!H184=""),"",LN(Monthly_Prices_RAW!H185/Monthly_Prices_RAW!H184))</f>
        <v>5.9705468070558924E-2</v>
      </c>
      <c r="H183">
        <f>IF(OR(Monthly_Prices_RAW!I185="",Monthly_Prices_RAW!I184=""),"",Monthly_Prices_RAW!I185-Monthly_Prices_RAW!I184)</f>
        <v>-0.19999999999999574</v>
      </c>
    </row>
    <row r="184" spans="1:8" x14ac:dyDescent="0.25">
      <c r="A184" s="1">
        <f>Monthly_Prices_RAW!B185</f>
        <v>45808</v>
      </c>
      <c r="B184">
        <f>IF(OR(Monthly_Prices_RAW!C186="",Monthly_Prices_RAW!C185=""),"",LN(Monthly_Prices_RAW!C186/Monthly_Prices_RAW!C185))</f>
        <v>-1.8682706338341334E-2</v>
      </c>
      <c r="C184">
        <f>IF(OR(Monthly_Prices_RAW!D186="",Monthly_Prices_RAW!D185=""),"",LN(Monthly_Prices_RAW!D186/Monthly_Prices_RAW!D185))</f>
        <v>-3.6565119310807061E-2</v>
      </c>
      <c r="D184">
        <f>IF(OR(Monthly_Prices_RAW!E186="",Monthly_Prices_RAW!E185=""),"",LN(Monthly_Prices_RAW!E186/Monthly_Prices_RAW!E185))</f>
        <v>7.2656204945540231E-2</v>
      </c>
      <c r="E184">
        <f>IF(OR(Monthly_Prices_RAW!F186="",Monthly_Prices_RAW!F185=""),"",LN(Monthly_Prices_RAW!F186/Monthly_Prices_RAW!F185))</f>
        <v>6.0913402681896607E-2</v>
      </c>
      <c r="F184">
        <f>IF(OR(Monthly_Prices_RAW!G186="",Monthly_Prices_RAW!G185=""),"",LN(Monthly_Prices_RAW!G186/Monthly_Prices_RAW!G185))</f>
        <v>2.3056662321256003E-2</v>
      </c>
      <c r="G184">
        <f>IF(OR(Monthly_Prices_RAW!H186="",Monthly_Prices_RAW!H185=""),"",LN(Monthly_Prices_RAW!H186/Monthly_Prices_RAW!H185))</f>
        <v>4.8415614059228305E-2</v>
      </c>
      <c r="H184">
        <f>IF(OR(Monthly_Prices_RAW!I186="",Monthly_Prices_RAW!I185=""),"",Monthly_Prices_RAW!I186-Monthly_Prices_RAW!I185)</f>
        <v>0.39999999999999858</v>
      </c>
    </row>
    <row r="185" spans="1:8" x14ac:dyDescent="0.25">
      <c r="A185" s="1">
        <f>Monthly_Prices_RAW!B186</f>
        <v>45838</v>
      </c>
      <c r="B185">
        <f>IF(OR(Monthly_Prices_RAW!C187="",Monthly_Prices_RAW!C186=""),"",LN(Monthly_Prices_RAW!C187/Monthly_Prices_RAW!C186))</f>
        <v>2.4387509893363017E-2</v>
      </c>
      <c r="C185">
        <f>IF(OR(Monthly_Prices_RAW!D187="",Monthly_Prices_RAW!D186=""),"",LN(Monthly_Prices_RAW!D187/Monthly_Prices_RAW!D186))</f>
        <v>7.7287010899050851E-2</v>
      </c>
      <c r="D185">
        <f>IF(OR(Monthly_Prices_RAW!E187="",Monthly_Prices_RAW!E186=""),"",LN(Monthly_Prices_RAW!E187/Monthly_Prices_RAW!E186))</f>
        <v>-0.14421019096099069</v>
      </c>
      <c r="E185">
        <f>IF(OR(Monthly_Prices_RAW!F187="",Monthly_Prices_RAW!F186=""),"",LN(Monthly_Prices_RAW!F187/Monthly_Prices_RAW!F186))</f>
        <v>-1.2590965368512503E-2</v>
      </c>
      <c r="F185">
        <f>IF(OR(Monthly_Prices_RAW!G187="",Monthly_Prices_RAW!G186=""),"",LN(Monthly_Prices_RAW!G187/Monthly_Prices_RAW!G186))</f>
        <v>-2.3990078692698653E-2</v>
      </c>
      <c r="G185">
        <f>IF(OR(Monthly_Prices_RAW!H187="",Monthly_Prices_RAW!H186=""),"",LN(Monthly_Prices_RAW!H187/Monthly_Prices_RAW!H186))</f>
        <v>2.1435188702803743E-2</v>
      </c>
      <c r="H185">
        <f>IF(OR(Monthly_Prices_RAW!I187="",Monthly_Prices_RAW!I186=""),"",Monthly_Prices_RAW!I187-Monthly_Prices_RAW!I186)</f>
        <v>-0.60000000000000142</v>
      </c>
    </row>
    <row r="186" spans="1:8" x14ac:dyDescent="0.25">
      <c r="A186" s="1">
        <f>Monthly_Prices_RAW!B187</f>
        <v>45869</v>
      </c>
      <c r="B186">
        <f>IF(OR(Monthly_Prices_RAW!C188="",Monthly_Prices_RAW!C187=""),"",LN(Monthly_Prices_RAW!C188/Monthly_Prices_RAW!C187))</f>
        <v>7.2055949221060123E-2</v>
      </c>
      <c r="C186">
        <f>IF(OR(Monthly_Prices_RAW!D188="",Monthly_Prices_RAW!D187=""),"",LN(Monthly_Prices_RAW!D188/Monthly_Prices_RAW!D187))</f>
        <v>2.4863301703495568E-2</v>
      </c>
      <c r="D186">
        <f>IF(OR(Monthly_Prices_RAW!E188="",Monthly_Prices_RAW!E187=""),"",LN(Monthly_Prices_RAW!E188/Monthly_Prices_RAW!E187))</f>
        <v>3.6970287209216357E-2</v>
      </c>
      <c r="E186">
        <f>IF(OR(Monthly_Prices_RAW!F188="",Monthly_Prices_RAW!F187=""),"",LN(Monthly_Prices_RAW!F188/Monthly_Prices_RAW!F187))</f>
        <v>1.9496805205795789E-2</v>
      </c>
      <c r="F186">
        <f>IF(OR(Monthly_Prices_RAW!G188="",Monthly_Prices_RAW!G187=""),"",LN(Monthly_Prices_RAW!G188/Monthly_Prices_RAW!G187))</f>
        <v>1.7740534687823994E-2</v>
      </c>
      <c r="G186">
        <f>IF(OR(Monthly_Prices_RAW!H188="",Monthly_Prices_RAW!H187=""),"",LN(Monthly_Prices_RAW!H188/Monthly_Prices_RAW!H187))</f>
        <v>1.8887015353432401E-2</v>
      </c>
      <c r="H186">
        <f>IF(OR(Monthly_Prices_RAW!I188="",Monthly_Prices_RAW!I187=""),"",Monthly_Prices_RAW!I188-Monthly_Prices_RAW!I187)</f>
        <v>0.5</v>
      </c>
    </row>
    <row r="187" spans="1:8" x14ac:dyDescent="0.25">
      <c r="A187" s="1">
        <f>Monthly_Prices_RAW!B188</f>
        <v>45900</v>
      </c>
      <c r="B187">
        <f>IF(OR(Monthly_Prices_RAW!C189="",Monthly_Prices_RAW!C188=""),"",LN(Monthly_Prices_RAW!C189/Monthly_Prices_RAW!C188))</f>
        <v>5.1126099285415894E-2</v>
      </c>
      <c r="C187">
        <f>IF(OR(Monthly_Prices_RAW!D189="",Monthly_Prices_RAW!D188=""),"",LN(Monthly_Prices_RAW!D189/Monthly_Prices_RAW!D188))</f>
        <v>2.0376974089861687E-4</v>
      </c>
      <c r="D187">
        <f>IF(OR(Monthly_Prices_RAW!E189="",Monthly_Prices_RAW!E188=""),"",LN(Monthly_Prices_RAW!E189/Monthly_Prices_RAW!E188))</f>
        <v>7.2137933500374701E-2</v>
      </c>
      <c r="E187">
        <f>IF(OR(Monthly_Prices_RAW!F189="",Monthly_Prices_RAW!F188=""),"",LN(Monthly_Prices_RAW!F189/Monthly_Prices_RAW!F188))</f>
        <v>2.4548060456926687E-2</v>
      </c>
      <c r="F187">
        <f>IF(OR(Monthly_Prices_RAW!G189="",Monthly_Prices_RAW!G188=""),"",LN(Monthly_Prices_RAW!G189/Monthly_Prices_RAW!G188))</f>
        <v>1.1100243223417874E-2</v>
      </c>
      <c r="G187">
        <f>IF(OR(Monthly_Prices_RAW!H189="",Monthly_Prices_RAW!H188=""),"",LN(Monthly_Prices_RAW!H189/Monthly_Prices_RAW!H188))</f>
        <v>3.4714088658864529E-2</v>
      </c>
      <c r="H187">
        <f>IF(OR(Monthly_Prices_RAW!I189="",Monthly_Prices_RAW!I188=""),"",Monthly_Prices_RAW!I189-Monthly_Prices_RAW!I188)</f>
        <v>0</v>
      </c>
    </row>
    <row r="188" spans="1:8" x14ac:dyDescent="0.25">
      <c r="A188" s="1">
        <f>Monthly_Prices_RAW!B189</f>
        <v>45930</v>
      </c>
      <c r="B188">
        <f>IF(OR(Monthly_Prices_RAW!C190="",Monthly_Prices_RAW!C189=""),"",LN(Monthly_Prices_RAW!C190/Monthly_Prices_RAW!C189))</f>
        <v>8.3242399630013175E-2</v>
      </c>
      <c r="C188">
        <f>IF(OR(Monthly_Prices_RAW!D190="",Monthly_Prices_RAW!D189=""),"",LN(Monthly_Prices_RAW!D190/Monthly_Prices_RAW!D189))</f>
        <v>3.306583173588791E-2</v>
      </c>
      <c r="D188">
        <f>IF(OR(Monthly_Prices_RAW!E190="",Monthly_Prices_RAW!E189=""),"",LN(Monthly_Prices_RAW!E190/Monthly_Prices_RAW!E189))</f>
        <v>4.6763333746447457E-2</v>
      </c>
      <c r="E188">
        <f>IF(OR(Monthly_Prices_RAW!F190="",Monthly_Prices_RAW!F189=""),"",LN(Monthly_Prices_RAW!F190/Monthly_Prices_RAW!F189))</f>
        <v>7.3174875137247228E-2</v>
      </c>
      <c r="F188">
        <f>IF(OR(Monthly_Prices_RAW!G190="",Monthly_Prices_RAW!G189=""),"",LN(Monthly_Prices_RAW!G190/Monthly_Prices_RAW!G189))</f>
        <v>-1.033600933066206E-2</v>
      </c>
      <c r="G188">
        <f>IF(OR(Monthly_Prices_RAW!H190="",Monthly_Prices_RAW!H189=""),"",LN(Monthly_Prices_RAW!H190/Monthly_Prices_RAW!H189))</f>
        <v>2.2433317651589665E-2</v>
      </c>
      <c r="H188">
        <f>IF(OR(Monthly_Prices_RAW!I190="",Monthly_Prices_RAW!I189=""),"",Monthly_Prices_RAW!I190-Monthly_Prices_RAW!I189)</f>
        <v>-0.10000000000000142</v>
      </c>
    </row>
    <row r="189" spans="1:8" x14ac:dyDescent="0.25">
      <c r="A189" s="1">
        <f>Monthly_Prices_RAW!B190</f>
        <v>45961</v>
      </c>
      <c r="B189">
        <f>IF(OR(Monthly_Prices_RAW!C191="",Monthly_Prices_RAW!C190=""),"",LN(Monthly_Prices_RAW!C191/Monthly_Prices_RAW!C190))</f>
        <v>2.9227433475920188E-3</v>
      </c>
      <c r="C189">
        <f>IF(OR(Monthly_Prices_RAW!D191="",Monthly_Prices_RAW!D190=""),"",LN(Monthly_Prices_RAW!D191/Monthly_Prices_RAW!D190))</f>
        <v>-4.4451102974510329E-3</v>
      </c>
      <c r="D189">
        <f>IF(OR(Monthly_Prices_RAW!E191="",Monthly_Prices_RAW!E190=""),"",LN(Monthly_Prices_RAW!E191/Monthly_Prices_RAW!E190))</f>
        <v>1.8784921440956105E-2</v>
      </c>
      <c r="E189">
        <f>IF(OR(Monthly_Prices_RAW!F191="",Monthly_Prices_RAW!F190=""),"",LN(Monthly_Prices_RAW!F191/Monthly_Prices_RAW!F190))</f>
        <v>-5.5632966853287153E-3</v>
      </c>
      <c r="F189">
        <f>IF(OR(Monthly_Prices_RAW!G191="",Monthly_Prices_RAW!G190=""),"",LN(Monthly_Prices_RAW!G191/Monthly_Prices_RAW!G190))</f>
        <v>7.6365028529739687E-4</v>
      </c>
      <c r="G189">
        <f>IF(OR(Monthly_Prices_RAW!H191="",Monthly_Prices_RAW!H190=""),"",LN(Monthly_Prices_RAW!H191/Monthly_Prices_RAW!H190))</f>
        <v>1.2988257608315961E-3</v>
      </c>
      <c r="H189">
        <f>IF(OR(Monthly_Prices_RAW!I191="",Monthly_Prices_RAW!I190=""),"",Monthly_Prices_RAW!I191-Monthly_Prices_RAW!I190)</f>
        <v>-0.79999999999999716</v>
      </c>
    </row>
    <row r="190" spans="1:8" x14ac:dyDescent="0.25">
      <c r="A190" s="1">
        <f>Monthly_Prices_RAW!B191</f>
        <v>45991</v>
      </c>
      <c r="B190">
        <f>IF(OR(Monthly_Prices_RAW!C192="",Monthly_Prices_RAW!C191=""),"",LN(Monthly_Prices_RAW!C192/Monthly_Prices_RAW!C191))</f>
        <v>0.10643014152079693</v>
      </c>
      <c r="C190">
        <f>IF(OR(Monthly_Prices_RAW!D192="",Monthly_Prices_RAW!D191=""),"",LN(Monthly_Prices_RAW!D192/Monthly_Prices_RAW!D191))</f>
        <v>2.8401850521251285E-2</v>
      </c>
      <c r="D190">
        <f>IF(OR(Monthly_Prices_RAW!E192="",Monthly_Prices_RAW!E191=""),"",LN(Monthly_Prices_RAW!E192/Monthly_Prices_RAW!E191))</f>
        <v>9.1437014384344595E-2</v>
      </c>
      <c r="E190">
        <f>IF(OR(Monthly_Prices_RAW!F192="",Monthly_Prices_RAW!F191=""),"",LN(Monthly_Prices_RAW!F192/Monthly_Prices_RAW!F191))</f>
        <v>4.3496239804468595E-2</v>
      </c>
      <c r="F190">
        <f>IF(OR(Monthly_Prices_RAW!G192="",Monthly_Prices_RAW!G191=""),"",LN(Monthly_Prices_RAW!G192/Monthly_Prices_RAW!G191))</f>
        <v>1.860448427430891E-2</v>
      </c>
      <c r="G190">
        <f>IF(OR(Monthly_Prices_RAW!H192="",Monthly_Prices_RAW!H191=""),"",LN(Monthly_Prices_RAW!H192/Monthly_Prices_RAW!H191))</f>
        <v>-5.2429464222535766E-4</v>
      </c>
      <c r="H190">
        <f>IF(OR(Monthly_Prices_RAW!I192="",Monthly_Prices_RAW!I191=""),"",Monthly_Prices_RAW!I192-Monthly_Prices_RAW!I191)</f>
        <v>-0.10000000000000142</v>
      </c>
    </row>
    <row r="191" spans="1:8" x14ac:dyDescent="0.25">
      <c r="A191" s="1">
        <f>Monthly_Prices_RAW!B192</f>
        <v>46022</v>
      </c>
      <c r="B191">
        <f>IF(OR(Monthly_Prices_RAW!C193="",Monthly_Prices_RAW!C192=""),"",LN(Monthly_Prices_RAW!C193/Monthly_Prices_RAW!C192))</f>
        <v>0.1287877027374415</v>
      </c>
      <c r="C191">
        <f>IF(OR(Monthly_Prices_RAW!D193="",Monthly_Prices_RAW!D192=""),"",LN(Monthly_Prices_RAW!D193/Monthly_Prices_RAW!D192))</f>
        <v>-2.9875220986837277E-3</v>
      </c>
      <c r="D191">
        <f>IF(OR(Monthly_Prices_RAW!E193="",Monthly_Prices_RAW!E192=""),"",LN(Monthly_Prices_RAW!E193/Monthly_Prices_RAW!E192))</f>
        <v>4.1708612973556096E-2</v>
      </c>
      <c r="E191">
        <f>IF(OR(Monthly_Prices_RAW!F193="",Monthly_Prices_RAW!F192=""),"",LN(Monthly_Prices_RAW!F193/Monthly_Prices_RAW!F192))</f>
        <v>4.8384712025117523E-2</v>
      </c>
      <c r="F191">
        <f>IF(OR(Monthly_Prices_RAW!G193="",Monthly_Prices_RAW!G192=""),"",LN(Monthly_Prices_RAW!G193/Monthly_Prices_RAW!G192))</f>
        <v>4.2684487984473066E-2</v>
      </c>
      <c r="G191">
        <f>IF(OR(Monthly_Prices_RAW!H193="",Monthly_Prices_RAW!H192=""),"",LN(Monthly_Prices_RAW!H193/Monthly_Prices_RAW!H192))</f>
        <v>1.3570493205929611E-2</v>
      </c>
      <c r="H191">
        <f>IF(OR(Monthly_Prices_RAW!I193="",Monthly_Prices_RAW!I192=""),"",Monthly_Prices_RAW!I193-Monthly_Prices_RAW!I192)</f>
        <v>4.7000000000000028</v>
      </c>
    </row>
    <row r="192" spans="1:8" x14ac:dyDescent="0.25">
      <c r="A192" s="1">
        <f>Monthly_Prices_RAW!B193</f>
        <v>46053</v>
      </c>
      <c r="B192">
        <f>IF(OR(Monthly_Prices_RAW!C194="",Monthly_Prices_RAW!C193=""),"",LN(Monthly_Prices_RAW!C194/Monthly_Prices_RAW!C193))</f>
        <v>8.7359047604487927E-2</v>
      </c>
      <c r="C192">
        <f>IF(OR(Monthly_Prices_RAW!D194="",Monthly_Prices_RAW!D193=""),"",LN(Monthly_Prices_RAW!D194/Monthly_Prices_RAW!D193))</f>
        <v>-4.0777759099337792E-2</v>
      </c>
      <c r="D192">
        <f>IF(OR(Monthly_Prices_RAW!E194="",Monthly_Prices_RAW!E193=""),"",LN(Monthly_Prices_RAW!E194/Monthly_Prices_RAW!E193))</f>
        <v>1.3497291713048773E-2</v>
      </c>
      <c r="E192">
        <f>IF(OR(Monthly_Prices_RAW!F194="",Monthly_Prices_RAW!F193=""),"",LN(Monthly_Prices_RAW!F194/Monthly_Prices_RAW!F193))</f>
        <v>-1.2730746467980965E-3</v>
      </c>
      <c r="F192">
        <f>IF(OR(Monthly_Prices_RAW!G194="",Monthly_Prices_RAW!G193=""),"",LN(Monthly_Prices_RAW!G194/Monthly_Prices_RAW!G193))</f>
        <v>2.1872765182058315E-2</v>
      </c>
      <c r="G192">
        <f>IF(OR(Monthly_Prices_RAW!H194="",Monthly_Prices_RAW!H193=""),"",LN(Monthly_Prices_RAW!H194/Monthly_Prices_RAW!H193))</f>
        <v>-8.7061473018693238E-3</v>
      </c>
      <c r="H192">
        <f>IF(OR(Monthly_Prices_RAW!I194="",Monthly_Prices_RAW!I193=""),"",Monthly_Prices_RAW!I194-Monthly_Prices_RAW!I193)</f>
        <v>-0.20000000000000284</v>
      </c>
    </row>
    <row r="193" spans="1:8" x14ac:dyDescent="0.25">
      <c r="A193" s="1">
        <f>Monthly_Prices_RAW!B194</f>
        <v>46081</v>
      </c>
      <c r="B193" t="str">
        <f>IF(OR(Monthly_Prices_RAW!C195="",Monthly_Prices_RAW!C194=""),"",LN(Monthly_Prices_RAW!C195/Monthly_Prices_RAW!C194))</f>
        <v/>
      </c>
      <c r="C193" t="str">
        <f>IF(OR(Monthly_Prices_RAW!D195="",Monthly_Prices_RAW!D194=""),"",LN(Monthly_Prices_RAW!D195/Monthly_Prices_RAW!D194))</f>
        <v/>
      </c>
      <c r="D193" t="str">
        <f>IF(OR(Monthly_Prices_RAW!E195="",Monthly_Prices_RAW!E194=""),"",LN(Monthly_Prices_RAW!E195/Monthly_Prices_RAW!E194))</f>
        <v/>
      </c>
      <c r="E193" t="str">
        <f>IF(OR(Monthly_Prices_RAW!F195="",Monthly_Prices_RAW!F194=""),"",LN(Monthly_Prices_RAW!F195/Monthly_Prices_RAW!F194))</f>
        <v/>
      </c>
      <c r="F193" t="str">
        <f>IF(OR(Monthly_Prices_RAW!G195="",Monthly_Prices_RAW!G194=""),"",LN(Monthly_Prices_RAW!G195/Monthly_Prices_RAW!G194))</f>
        <v/>
      </c>
      <c r="G193" t="str">
        <f>IF(OR(Monthly_Prices_RAW!H195="",Monthly_Prices_RAW!H194=""),"",LN(Monthly_Prices_RAW!H195/Monthly_Prices_RAW!H194))</f>
        <v/>
      </c>
      <c r="H193" t="str">
        <f>IF(OR(Monthly_Prices_RAW!I195="",Monthly_Prices_RAW!I194=""),"",Monthly_Prices_RAW!I195-Monthly_Prices_RAW!I194)</f>
        <v/>
      </c>
    </row>
    <row r="195" spans="1:8" x14ac:dyDescent="0.25">
      <c r="B195" s="1"/>
    </row>
    <row r="196" spans="1:8" x14ac:dyDescent="0.25">
      <c r="B196" s="1"/>
    </row>
    <row r="197" spans="1:8" x14ac:dyDescent="0.25">
      <c r="B197" s="1"/>
    </row>
    <row r="198" spans="1:8" x14ac:dyDescent="0.25">
      <c r="B198" s="1"/>
    </row>
    <row r="199" spans="1:8" x14ac:dyDescent="0.25">
      <c r="B199" s="1"/>
    </row>
    <row r="200" spans="1:8" x14ac:dyDescent="0.25">
      <c r="B200" s="1"/>
    </row>
    <row r="201" spans="1:8" x14ac:dyDescent="0.25">
      <c r="B201" s="1"/>
    </row>
    <row r="202" spans="1:8" x14ac:dyDescent="0.25">
      <c r="B202" s="1"/>
    </row>
    <row r="203" spans="1:8" x14ac:dyDescent="0.25">
      <c r="B203" s="1"/>
    </row>
    <row r="204" spans="1:8" x14ac:dyDescent="0.25">
      <c r="B204" s="1"/>
    </row>
    <row r="205" spans="1:8" x14ac:dyDescent="0.25">
      <c r="B205" s="1"/>
    </row>
    <row r="206" spans="1:8" x14ac:dyDescent="0.25">
      <c r="B206" s="1"/>
    </row>
    <row r="207" spans="1:8" x14ac:dyDescent="0.25">
      <c r="B207" s="1"/>
    </row>
    <row r="208" spans="1:8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</sheetData>
  <pageMargins left="0.7" right="0.7" top="0.75" bottom="0.75" header="0.3" footer="0.3"/>
  <customProperties>
    <customPr name="IbpWorksheetKeyString_GUID" r:id="rId1"/>
  </customProperties>
</worksheet>
</file>

<file path=docMetadata/LabelInfo.xml><?xml version="1.0" encoding="utf-8"?>
<clbl:labelList xmlns:clbl="http://schemas.microsoft.com/office/2020/mipLabelMetadata">
  <clbl:label id="{96b947f8-b97d-4e5e-aeef-1a880b49c251}" enabled="0" method="" siteId="{96b947f8-b97d-4e5e-aeef-1a880b49c2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Monthly_Prices_RAW</vt:lpstr>
      <vt:lpstr>Monthly_Returns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Auggie Nelson</dc:creator>
  <cp:lastModifiedBy>Auggie Nelson</cp:lastModifiedBy>
  <dcterms:created xsi:type="dcterms:W3CDTF">2026-03-12T19:39:37Z</dcterms:created>
  <dcterms:modified xsi:type="dcterms:W3CDTF">2026-03-13T03:01:16Z</dcterms:modified>
</cp:coreProperties>
</file>